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7.xml" ContentType="application/vnd.openxmlformats-officedocument.spreadsheetml.pivotTab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ww\Documents\Codecademy_projects\portfolio_projects\ChatGPT Project Brazilian E-Commerce Analysis\"/>
    </mc:Choice>
  </mc:AlternateContent>
  <xr:revisionPtr revIDLastSave="0" documentId="13_ncr:1_{AFED898E-563D-4AA4-8F8B-F2159215C4FF}" xr6:coauthVersionLast="47" xr6:coauthVersionMax="47" xr10:uidLastSave="{00000000-0000-0000-0000-000000000000}"/>
  <bookViews>
    <workbookView xWindow="-108" yWindow="-108" windowWidth="23256" windowHeight="12456" xr2:uid="{197B523A-3E25-4537-9CDB-6DA151AB770D}"/>
  </bookViews>
  <sheets>
    <sheet name="Insights log" sheetId="20" r:id="rId1"/>
    <sheet name="Brazil context" sheetId="21" r:id="rId2"/>
    <sheet name="Brazil Fed units" sheetId="22" r:id="rId3"/>
    <sheet name="Brazil Data" sheetId="23" r:id="rId4"/>
    <sheet name="Missingness over time" sheetId="1" r:id="rId5"/>
    <sheet name="Category dominance by state" sheetId="13" r:id="rId6"/>
    <sheet name="Orders over time" sheetId="18" r:id="rId7"/>
    <sheet name="Category sale vs revenue" sheetId="14" r:id="rId8"/>
    <sheet name="State dependance" sheetId="17" r:id="rId9"/>
    <sheet name="product categories" sheetId="12" r:id="rId10"/>
    <sheet name="Table names" sheetId="2" r:id="rId11"/>
    <sheet name="Sellers pivot" sheetId="9" r:id="rId12"/>
    <sheet name="Total reviews" sheetId="11" r:id="rId13"/>
    <sheet name="reviews by sellers state" sheetId="10" r:id="rId14"/>
    <sheet name="sellers reviews" sheetId="3" r:id="rId15"/>
    <sheet name="exceptional sellers pivot" sheetId="5" r:id="rId16"/>
  </sheets>
  <definedNames>
    <definedName name="_xlnm._FilterDatabase" localSheetId="1" hidden="1">'Brazil context'!$O$2:$Q$2</definedName>
    <definedName name="_xlnm._FilterDatabase" localSheetId="2" hidden="1">'Brazil Fed units'!$A$1:$E$28</definedName>
    <definedName name="_xlnm._FilterDatabase" localSheetId="14" hidden="1">'sellers reviews'!$A$1:$Q$888</definedName>
    <definedName name="_xlcn.WorksheetConnection_sellersreviewsA1I8881" hidden="1">'sellers reviews'!$A$1:$I$888</definedName>
  </definedNames>
  <calcPr calcId="191029"/>
  <pivotCaches>
    <pivotCache cacheId="0" r:id="rId17"/>
    <pivotCache cacheId="1" r:id="rId18"/>
    <pivotCache cacheId="2" r:id="rId19"/>
    <pivotCache cacheId="3" r:id="rId2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ellers reviews!$A$1:$I$88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23" l="1"/>
  <c r="F27" i="23"/>
  <c r="F26" i="23"/>
  <c r="F25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F11" i="23"/>
  <c r="F10" i="23"/>
  <c r="F9" i="23"/>
  <c r="F8" i="23"/>
  <c r="F7" i="23"/>
  <c r="F6" i="23"/>
  <c r="F5" i="23"/>
  <c r="F4" i="23"/>
  <c r="F3" i="23"/>
  <c r="F2" i="23"/>
  <c r="F2" i="22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K2" i="22" s="1" a="1"/>
  <c r="K2" i="22" s="1"/>
  <c r="F21" i="22"/>
  <c r="F22" i="22"/>
  <c r="F23" i="22"/>
  <c r="F24" i="22"/>
  <c r="F25" i="22"/>
  <c r="F26" i="22"/>
  <c r="F27" i="22"/>
  <c r="F28" i="22"/>
  <c r="J3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988FB0-9617-4FDF-ABD5-27557661CA3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5B46079-081C-4411-8157-6EDE196EACDA}" name="WorksheetConnection_sellers reviews!$A$1:$I$88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ellersreviewsA1I888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<sst xmlns="http://schemas.openxmlformats.org/spreadsheetml/2006/main" count="5431" uniqueCount="1485">
  <si>
    <t>month</t>
  </si>
  <si>
    <t>total_orders</t>
  </si>
  <si>
    <t>missing_delivery</t>
  </si>
  <si>
    <t>missing_pct</t>
  </si>
  <si>
    <t>tables</t>
  </si>
  <si>
    <t>customers</t>
  </si>
  <si>
    <t>geolocation</t>
  </si>
  <si>
    <t>order_items</t>
  </si>
  <si>
    <t>order_payments</t>
  </si>
  <si>
    <t>order_reviews</t>
  </si>
  <si>
    <t>orders</t>
  </si>
  <si>
    <t>products</t>
  </si>
  <si>
    <t>sellers</t>
  </si>
  <si>
    <t>seller_id</t>
  </si>
  <si>
    <t>total_reviews</t>
  </si>
  <si>
    <t>avg_score</t>
  </si>
  <si>
    <t>b39d7fe263ef469605dbb32608aee0af</t>
  </si>
  <si>
    <t>71039d19d4303bf9054d69e9a9236699</t>
  </si>
  <si>
    <t>3fd1e727ba94cfe122d165e176ce7967</t>
  </si>
  <si>
    <t>3092c0b297aacfb4bb6e056ebe13b9b8</t>
  </si>
  <si>
    <t>82bd0703a4aefd6b599e5bfdaed378fb</t>
  </si>
  <si>
    <t>638cba8be1fb599bbb76fd6948351eb3</t>
  </si>
  <si>
    <t>06e5eefc71ec47ae763c5c6f8db7064f</t>
  </si>
  <si>
    <t>5011f0d93373a4c5753adf58ca77af8d</t>
  </si>
  <si>
    <t>b92e3c8f9738272ff7c59e111e108d7c</t>
  </si>
  <si>
    <t>04e38a233f726ef161074ab1c9b0399a</t>
  </si>
  <si>
    <t>4a3ca9315b744ce9f8e9374361493884</t>
  </si>
  <si>
    <t>f9244d45189d3a3605499abddeade7d5</t>
  </si>
  <si>
    <t>0adac9fbd9a2b63cccaac4f8756c1ca8</t>
  </si>
  <si>
    <t>594f9aaa48e5bf431f011ddc5669b0d5</t>
  </si>
  <si>
    <t>ebd2d60905fb58271facef5596b620d3</t>
  </si>
  <si>
    <t>99002261c568a84cce14d43fcffb43ea</t>
  </si>
  <si>
    <t>056b4ada5bbc2c50cc7842547dda6b51</t>
  </si>
  <si>
    <t>f262cbc1c910c83959f849465454ddd3</t>
  </si>
  <si>
    <t>406822777a0b9eb5c50e442dd4cd3ec5</t>
  </si>
  <si>
    <t>ceaec5548eefc6e23e6607c5435102e7</t>
  </si>
  <si>
    <t>d379f449f2a3b271bc01c0782020f705</t>
  </si>
  <si>
    <t>002100f778ceb8431b7a1020ff7ab48f</t>
  </si>
  <si>
    <t>8b321bb669392f5163d04c59e235e066</t>
  </si>
  <si>
    <t>6d803cb79cc31c41c4c789a75933b3c7</t>
  </si>
  <si>
    <t>67bf6941ba2f1fa1d02c375766bc3e53</t>
  </si>
  <si>
    <t>dbb9b48c841a0e39e21f98e1a6b2ec3e</t>
  </si>
  <si>
    <t>cfa5ab0e4d3fc212fd0b3410e7081c62</t>
  </si>
  <si>
    <t>a5a1bfcf728ab0e19182959cf0771ee4</t>
  </si>
  <si>
    <t>2199e7fe213c16213bf5d6a7eadc9a5d</t>
  </si>
  <si>
    <t>e7d5b006eb624f13074497221eb37807</t>
  </si>
  <si>
    <t>cac4c8e7b1ca6252d8f20b2fc1a2e4af</t>
  </si>
  <si>
    <t>c9c7905cffc4ef9ff9f113554423e671</t>
  </si>
  <si>
    <t>88460e8ebdecbfecb5f9601833981930</t>
  </si>
  <si>
    <t>89bc797e2e29667aa035d4368f9b7f92</t>
  </si>
  <si>
    <t>542917da124346b47ea1ac79a93ce454</t>
  </si>
  <si>
    <t>3d8fa2f5b647373c8620330c4e077a9f</t>
  </si>
  <si>
    <t>8a432f4e5b471f8da497d7dc517666e2</t>
  </si>
  <si>
    <t>8b28d096634035667e8263d57ba3368c</t>
  </si>
  <si>
    <t>dc317f341ab0e22f39acbd9dbf9b4a1f</t>
  </si>
  <si>
    <t>8b9d6eec4a7eb7d0f9d579ce0b38324d</t>
  </si>
  <si>
    <t>a36b125ac6d5fdbc7f50de85c9157bdc</t>
  </si>
  <si>
    <t>7c67e1448b00f6e969d365cea6b010ab</t>
  </si>
  <si>
    <t>b19f3ca2ea475913750f25a5c37c8d8f</t>
  </si>
  <si>
    <t>b18dc380845b24038cfc48006478f099</t>
  </si>
  <si>
    <t>7f152321c60a266edc53af1925ef96c1</t>
  </si>
  <si>
    <t>530ec6109d11eaaf87999465c6afee01</t>
  </si>
  <si>
    <t>d13e50eaa47b4cbe9eb81465865d8cfc</t>
  </si>
  <si>
    <t>5b925e1d006e9476d738aa200751b73b</t>
  </si>
  <si>
    <t>784ba75dd9d20200c4caed3d7a77141a</t>
  </si>
  <si>
    <t>95ec4458365c4d11f452ccf538377619</t>
  </si>
  <si>
    <t>63b464dbf392c7b80d12d932fa7cafed</t>
  </si>
  <si>
    <t>671585f5a2af58b6e276bc01003c0d2b</t>
  </si>
  <si>
    <t>99a54764c341d5dc80b4a8fac4eba3fb</t>
  </si>
  <si>
    <t>e7df4cd29ab5abab70fb0783ddb53987</t>
  </si>
  <si>
    <t>8ae520247981aa06bc94abddf5f46d34</t>
  </si>
  <si>
    <t>d3f39f05462b79a4562d35893a28f159</t>
  </si>
  <si>
    <t>fcb5ace8bcc92f75707dc0f01a27d269</t>
  </si>
  <si>
    <t>f326006815956455b2859abd58fe7e39</t>
  </si>
  <si>
    <t>39d54ff918774174706fb065d7f9dc07</t>
  </si>
  <si>
    <t>dc8798cbf453b7e0f98745e396cc5616</t>
  </si>
  <si>
    <t>e883aa812c37a7413226856f4579fe91</t>
  </si>
  <si>
    <t>0ef83d7d83ed97cd2a0049ac8be5f88a</t>
  </si>
  <si>
    <t>08d2d642cf72b622b14dde1d2f5eb2f5</t>
  </si>
  <si>
    <t>54a1852d1b8f10312c55e906355666ee</t>
  </si>
  <si>
    <t>fb89df7f89fd1b8f03fa2acca1ba7364</t>
  </si>
  <si>
    <t>3f3486b61f45078d4f31ee5e43d8c5bb</t>
  </si>
  <si>
    <t>093805f8f2aeb63881444571e1f48f30</t>
  </si>
  <si>
    <t>062ce95fa2ad4dfaedfc79260130565f</t>
  </si>
  <si>
    <t>c3867b4666c7d76867627c2f7fb22e21</t>
  </si>
  <si>
    <t>f680f85bee2d253556ac91be391d2c82</t>
  </si>
  <si>
    <t>e9bc59e7b60fc3063eb2290deda4cced</t>
  </si>
  <si>
    <t>bd697db56ff8e7c9cd1abeb7f72029b2</t>
  </si>
  <si>
    <t>6562efe88ce0826a4ca4f189f03b4b84</t>
  </si>
  <si>
    <t>3be634553519fb6536a03e1358e9fdc7</t>
  </si>
  <si>
    <t>2089a6d640999f9b9141ac719b2af596</t>
  </si>
  <si>
    <t>8fdca8e349553f99bc738833a62c8802</t>
  </si>
  <si>
    <t>7b1222c3624aa89b9558b50a2594188c</t>
  </si>
  <si>
    <t>537eb890efff034a88679788b647c564</t>
  </si>
  <si>
    <t>ea67327e24487bdfac5fbfa37ea124df</t>
  </si>
  <si>
    <t>20d83f3ef0e6925fd74bfd59170babf7</t>
  </si>
  <si>
    <t>45ba18c210d42734ec52c0c1c574e9ee</t>
  </si>
  <si>
    <t>6fd52c528dcb38be2eea044946b811f8</t>
  </si>
  <si>
    <t>5cbbd5a299cab112b7bf23862255e43e</t>
  </si>
  <si>
    <t>1c40343cc5d18c2d8248ac2f3366de34</t>
  </si>
  <si>
    <t>e0878efa0e0b7e5313ac0b43bc04c081</t>
  </si>
  <si>
    <t>96493fab2fbb13a14d0c0e8772eef5c3</t>
  </si>
  <si>
    <t>7139dc5186aa238b006e066d8fbab2e4</t>
  </si>
  <si>
    <t>244c2f1bff6afe1f2eaf9bfe9b2aed38</t>
  </si>
  <si>
    <t>710e3548e02bc1d2831dfc4f1b5b14d4</t>
  </si>
  <si>
    <t>82e0a475a88cc9595229d8029273f045</t>
  </si>
  <si>
    <t>a17f621c590ea0fab3d5d883e1630ec6</t>
  </si>
  <si>
    <t>17ca9b9e9b9ef8fdb529001b49ebb50f</t>
  </si>
  <si>
    <t>c68fb906c8f4b4b946d8386bfa6e5467</t>
  </si>
  <si>
    <t>36a968b544695394e4e9d7572688598f</t>
  </si>
  <si>
    <t>7040e82f899a04d1b434b795a43b4617</t>
  </si>
  <si>
    <t>d12c926d74ceff0a90a21184466ce161</t>
  </si>
  <si>
    <t>cc419e0650a3c5ba77189a1882b7556a</t>
  </si>
  <si>
    <t>8090490573c6c0aa343a7231ebcb8c86</t>
  </si>
  <si>
    <t>20cb7c2fde3e5bf10f0bbe7394e1c6a9</t>
  </si>
  <si>
    <t>282f23a9769b2690c5dda22e316f9941</t>
  </si>
  <si>
    <t>e96498ed8daaa3e9c23f7a62da76591c</t>
  </si>
  <si>
    <t>4e5725ba188db8252977a4f0227bd462</t>
  </si>
  <si>
    <t>2ff97219cb8622eaf3cd89b7d9c09824</t>
  </si>
  <si>
    <t>b1fecf4da1fa2689bccffa0121953643</t>
  </si>
  <si>
    <t>850913d59ce317156b00f3705f1c3edb</t>
  </si>
  <si>
    <t>c66dccfb3f109511246da627dd5a2498</t>
  </si>
  <si>
    <t>b2ba3715d723d245138f291a6fe42594</t>
  </si>
  <si>
    <t>6061155addc1e54b4cfb51c1c2a32ad8</t>
  </si>
  <si>
    <t>813348c996469b40f2e028d5429d3495</t>
  </si>
  <si>
    <t>44073f8b7e41514de3b7815dd0237f4f</t>
  </si>
  <si>
    <t>df56d7b40d437f88407c5f78b63bc328</t>
  </si>
  <si>
    <t>02f623a8eb246f3c5f7c2f96462654e6</t>
  </si>
  <si>
    <t>6a8a889bde935bafa76d7848782dfaf9</t>
  </si>
  <si>
    <t>9d4db00d65d7760644ac0c14edb5fd86</t>
  </si>
  <si>
    <t>73a63f72308aa20a46f4b1632018f196</t>
  </si>
  <si>
    <t>2b3e4a2a3ea8e01938cabda2a3e5cc79</t>
  </si>
  <si>
    <t>8931a84a914b3fe9b1ddaa4d704947ca</t>
  </si>
  <si>
    <t>8cbac7e12637ed9cffa18c7875207478</t>
  </si>
  <si>
    <t>c70c1b0d8ca86052f45a432a38b73958</t>
  </si>
  <si>
    <t>aced59e9b31ef866a94f9e7f29d8d418</t>
  </si>
  <si>
    <t>cc3d14116804f7209f3884f6367f1152</t>
  </si>
  <si>
    <t>432c37c9dfba871172ec162e20118b8c</t>
  </si>
  <si>
    <t>323ce52b5b81df2cd804b017b7f09aa7</t>
  </si>
  <si>
    <t>55a5b51f93f2b70ea513f5a047b0262a</t>
  </si>
  <si>
    <t>dfc5fb7259bb2b599ca565e6e9448f0f</t>
  </si>
  <si>
    <t>4305fe92735c8a43d154ff6dd2b8d927</t>
  </si>
  <si>
    <t>9616352088dcf83a7c06637f4ebf1c80</t>
  </si>
  <si>
    <t>75fbb52eda0cbc24f479d3b2fbfa8d3e</t>
  </si>
  <si>
    <t>f84a00e60c73a49e7e851c9bdca3a5bb</t>
  </si>
  <si>
    <t>d650b663c3b5f6fb392b6326366efa9a</t>
  </si>
  <si>
    <t>a3e9a2c700480d9bb01fba070ba80a0e</t>
  </si>
  <si>
    <t>ff063b022a9a0aab91bad2c9088760b7</t>
  </si>
  <si>
    <t>7299e27ed73d2ad986de7f7c77d919fa</t>
  </si>
  <si>
    <t>3bb548e3cb7f70f28e3f11ee9dce0e59</t>
  </si>
  <si>
    <t>b94cc9f10ddc85e4ba73a6f7974e7101</t>
  </si>
  <si>
    <t>8f78f0903005064036736c7173a5c2ed</t>
  </si>
  <si>
    <t>4736e9d642ef4257cd7622516931eb51</t>
  </si>
  <si>
    <t>3f995f07c49d0d55a99d5c54957f7d81</t>
  </si>
  <si>
    <t>6860153b69cc696d5dcfe1cdaaafcf62</t>
  </si>
  <si>
    <t>4869f7a5dfa277a7dca6462dcf3b52b2</t>
  </si>
  <si>
    <t>c826c40d7b19f62a09e2d7c5e7295ee2</t>
  </si>
  <si>
    <t>e250d617a0ad591ba9bd663e584a895d</t>
  </si>
  <si>
    <t>6a51fc556dab5f766ced6fbc860bc613</t>
  </si>
  <si>
    <t>c013e57c075a06e5b5c48ee03c525719</t>
  </si>
  <si>
    <t>3785b653b1b82de85ab47dd139938091</t>
  </si>
  <si>
    <t>2b1a40c1daabc6ca280c4b815c101841</t>
  </si>
  <si>
    <t>45d33f715e24d15a6ccf5c17b3a23e3c</t>
  </si>
  <si>
    <t>b335c59ab742f751a85db9c411a86739</t>
  </si>
  <si>
    <t>ff69aa92bb6b1bf9b8b7a51c2ed9cf8b</t>
  </si>
  <si>
    <t>17e34d8224d27a541263c4c64b11a56b</t>
  </si>
  <si>
    <t>5dceca129747e92ff8ef7a997dc4f8ca</t>
  </si>
  <si>
    <t>7178f9f4dd81dcef02f62acdf8151e01</t>
  </si>
  <si>
    <t>d9bd94811c3338dceb4181f3dbc0c73e</t>
  </si>
  <si>
    <t>6edacfd9f9074789dad6d62ba7950b9c</t>
  </si>
  <si>
    <t>c8417879a15366a17c30af34c798c332</t>
  </si>
  <si>
    <t>d4e12e7884759a14fa0f5f896c791cae</t>
  </si>
  <si>
    <t>b410bdd36d5db7a65dcd42b7ead933b8</t>
  </si>
  <si>
    <t>dfa0c4c6229ab200a4a1336b4d7128ff</t>
  </si>
  <si>
    <t>7ade73f1b9b4e965f9009a4c3a7e2c15</t>
  </si>
  <si>
    <t>cd68562d3f44870c08922d380acae552</t>
  </si>
  <si>
    <t>3d871de0142ce09b7081e2b9d1733cb1</t>
  </si>
  <si>
    <t>66922902710d126a0e7d26b0e3805106</t>
  </si>
  <si>
    <t>80e6699fe29150b372a0c8a1ebf7dcc8</t>
  </si>
  <si>
    <t>4559697a8f7e637227c2eeaed843baff</t>
  </si>
  <si>
    <t>d93919c944be9cff128f6c9cb899eacb</t>
  </si>
  <si>
    <t>343e716476e3748b069f980efbaa294e</t>
  </si>
  <si>
    <t>e2aee0892199b1d92530e371abd825bf</t>
  </si>
  <si>
    <t>7008613ea464bad5cb9b83456e1e6a8f</t>
  </si>
  <si>
    <t>f7720c4fa8e3aba4546301ab80ea1f1b</t>
  </si>
  <si>
    <t>4c2b230173bb36f9b240f2b8ac11786e</t>
  </si>
  <si>
    <t>1da366cade6d8276e7d8beea7af5d4bf</t>
  </si>
  <si>
    <t>ef506c96320abeedfb894c34db06f478</t>
  </si>
  <si>
    <t>955fee9216a65b617aa5c0531780ce60</t>
  </si>
  <si>
    <t>951e8cef368f09bb3f3d03c00ca4702c</t>
  </si>
  <si>
    <t>e38db885400cd35c71dfd162f2c1dbcf</t>
  </si>
  <si>
    <t>9b013e03b2ab786505a1d3b5c0756754</t>
  </si>
  <si>
    <t>9baf5cb77970f539089d09a38bcec5c3</t>
  </si>
  <si>
    <t>5656537e588803a555b8eb41f07a944b</t>
  </si>
  <si>
    <t>ddd51ae8cda92f3995a51fc0f0f3eec7</t>
  </si>
  <si>
    <t>1336efc61c316ddf92c899eb817f7cae</t>
  </si>
  <si>
    <t>8c16d1f32a54d92897cc437244442e1b</t>
  </si>
  <si>
    <t>0c8380b62e38e8a1e6adbeba7eb9688c</t>
  </si>
  <si>
    <t>41b39e28db005d9731d9d485a83b4c38</t>
  </si>
  <si>
    <t>d66c305afaec317ebee552073a674429</t>
  </si>
  <si>
    <t>3078096983cf766a32a06257648502d1</t>
  </si>
  <si>
    <t>42fa4ee7240e9b8eb4576358ec142ba7</t>
  </si>
  <si>
    <t>0df3984f9dfb3d49ac6366acbd3bbb85</t>
  </si>
  <si>
    <t>1eade46fba20122dc4aefb379f8c636b</t>
  </si>
  <si>
    <t>e24fc9fcd865784fb25705606fe3dfe7</t>
  </si>
  <si>
    <t>ed4acab38528488b65a9a9c603ff024a</t>
  </si>
  <si>
    <t>004c9cd9d87a3c30c522c48c4fc07416</t>
  </si>
  <si>
    <t>c8b0e2b0a7095e5d8219575d5e7e1181</t>
  </si>
  <si>
    <t>5b67882648febfb6e1225e6ad7164f6b</t>
  </si>
  <si>
    <t>87142160b41353c4e5fca2360caf6f92</t>
  </si>
  <si>
    <t>609e1a9a6c2539919b8205cf7c4e6ff0</t>
  </si>
  <si>
    <t>8648b1e89e9b349e32d3741b30ec737e</t>
  </si>
  <si>
    <t>3c4e0452bff7a2a788179488d3d77032</t>
  </si>
  <si>
    <t>f593898ec748b7a8cb81fc04edafd98a</t>
  </si>
  <si>
    <t>30a81d8cf85fb2ada1b1b094c9583a95</t>
  </si>
  <si>
    <t>ec4608a1f76453166bb312b2968aeaf4</t>
  </si>
  <si>
    <t>dbd66278cbfe1aa1000f90a217ca4695</t>
  </si>
  <si>
    <t>33ac3e28642ab8bda860a2f693000e78</t>
  </si>
  <si>
    <t>57e632711dec9ec14ca7546769483e7e</t>
  </si>
  <si>
    <t>974cf2cb8f4b7add98709c30df02fe10</t>
  </si>
  <si>
    <t>febab0275244b9a49a623f0bd613ca2f</t>
  </si>
  <si>
    <t>db4350fd57ae30082dec7acbaacc17f9</t>
  </si>
  <si>
    <t>1f50f920176fa81dab994f9023523100</t>
  </si>
  <si>
    <t>1dfe5347016252a7884b694d4f10f5c4</t>
  </si>
  <si>
    <t>aae3bfea055532c57fb453ed3ec80b30</t>
  </si>
  <si>
    <t>b561927807645834b59ef0d16ba55a24</t>
  </si>
  <si>
    <t>2138ccb85b11a4ec1e37afbd1c8eda1f</t>
  </si>
  <si>
    <t>701938c450705b8ae65fc923b70f35c7</t>
  </si>
  <si>
    <t>95f83f51203c626648c875dd41874c7f</t>
  </si>
  <si>
    <t>07bf9669d84d1f11be443a9dd938f698</t>
  </si>
  <si>
    <t>23a0ffca143a15b9b5bbdb7d552f626a</t>
  </si>
  <si>
    <t>01fd077212124329bac32490e8ef80d9</t>
  </si>
  <si>
    <t>a3f0b55de503387383c7b1de3ad7f678</t>
  </si>
  <si>
    <t>7722b1df1b0e383e000397b2c11e3e19</t>
  </si>
  <si>
    <t>e8b4225284fbb02d16f200513f1f395d</t>
  </si>
  <si>
    <t>d05ae8f7a5bd1d2a690a44cd079e4e27</t>
  </si>
  <si>
    <t>522620dcb18a6b31cd7bdf73665113a9</t>
  </si>
  <si>
    <t>4200ddf1967c5e41e48db62bc6d4b5ac</t>
  </si>
  <si>
    <t>bf3c6d2a28b2b5501e6c15448982dcc9</t>
  </si>
  <si>
    <t>0b90b6df587eb83608a64ea8b390cf07</t>
  </si>
  <si>
    <t>850f4f8af5ea87287ac68de36e29107f</t>
  </si>
  <si>
    <t>8581055ce74af1daba164fdbd55a40de</t>
  </si>
  <si>
    <t>054694fa03fe82cec4b7551487331d74</t>
  </si>
  <si>
    <t>7e26c750b4cb9f6766f58265ff9ebe95</t>
  </si>
  <si>
    <t>6b3bd31ad8fcda4b2635ec9f3ff2ecdf</t>
  </si>
  <si>
    <t>3bdff180c7e1f6551a643b99c265a120</t>
  </si>
  <si>
    <t>2a5b78b41cd05baeac8df54c6606b92c</t>
  </si>
  <si>
    <t>688756f717c462a206ad854c5027a64a</t>
  </si>
  <si>
    <t>fdb9095204a334cd8872252ffec6f2db</t>
  </si>
  <si>
    <t>06df0c10d34e459d9672bc77388742eb</t>
  </si>
  <si>
    <t>1025f0e2d44d7041d6cf58b6550e0bfa</t>
  </si>
  <si>
    <t>b1ac6ea7895bc3dd6f0f6f4abbdd2821</t>
  </si>
  <si>
    <t>271c58a1d139c45eaf3316107c6d3a3b</t>
  </si>
  <si>
    <t>cc63f0dd2acba93ffed4fe9f8e0321fa</t>
  </si>
  <si>
    <t>080102cd0a76b09e0dcf55fcacc60e05</t>
  </si>
  <si>
    <t>080199a181c46c657dc5aa235411be3b</t>
  </si>
  <si>
    <t>373ee4a3a775a733770ca3f790b8b9ac</t>
  </si>
  <si>
    <t>06579cb253ecd5a3a12a9e6eb6bf8f47</t>
  </si>
  <si>
    <t>f214d28e8d8e3ef068748498ccc2f813</t>
  </si>
  <si>
    <t>d921b68bf747894be13a97ae52b0f386</t>
  </si>
  <si>
    <t>dc4a0fc896dc34b0d5bfec8438291c80</t>
  </si>
  <si>
    <t>e06f09ec0a4aca210779cf1cfc63cf19</t>
  </si>
  <si>
    <t>fe2032dab1a61af8794248c8196565c9</t>
  </si>
  <si>
    <t>eb5b6204dde3a6e03b5f1bb8479f055b</t>
  </si>
  <si>
    <t>7901646fdd36a55f564ffaf2dbccaaf7</t>
  </si>
  <si>
    <t>d1c281d3ae149232351cd8c8cc885f0d</t>
  </si>
  <si>
    <t>12b9676b00f60f3b700e83af21824c0e</t>
  </si>
  <si>
    <t>e882b2a25a10b9c057cc49695f222c19</t>
  </si>
  <si>
    <t>00fc707aaaad2d31347cf883cd2dfe10</t>
  </si>
  <si>
    <t>56642bcb79900e777d68e91915cb4267</t>
  </si>
  <si>
    <t>f12ff17ad8bbf01ec5c33b17e506649b</t>
  </si>
  <si>
    <t>640e21a7d01df7614a3b4923e990d40c</t>
  </si>
  <si>
    <t>70a12e78e608ac31179aea7f8422044b</t>
  </si>
  <si>
    <t>f41ce2e25237f9092cd8e6e7516c7a2f</t>
  </si>
  <si>
    <t>23c38debaffe4a25a30fdbd9b586a13f</t>
  </si>
  <si>
    <t>575df70bde3f9f2b30bf8d2e9910d725</t>
  </si>
  <si>
    <t>6338ea67c41078a46ad99cc009654956</t>
  </si>
  <si>
    <t>6b90f847357d8981edd79a1eb1bf0acb</t>
  </si>
  <si>
    <t>c731d18cea9bf687ffee82a241c25b11</t>
  </si>
  <si>
    <t>8d79c8a04e42d722a75097ce5cbcf2ef</t>
  </si>
  <si>
    <t>ede0c03645598cdfc63ca8237acbe73d</t>
  </si>
  <si>
    <t>916748bc99315c2d202898ae58b1617e</t>
  </si>
  <si>
    <t>d9442042130b7fe579d1295f9f4a248f</t>
  </si>
  <si>
    <t>b4a476fbd28de64b1e347abf9089366a</t>
  </si>
  <si>
    <t>55d3daac7c404d59e51c2aa2f4dc5a23</t>
  </si>
  <si>
    <t>1554a68530182680ad5c8b042c3ab563</t>
  </si>
  <si>
    <t>af4a0e4cfe1d9c26b6712b1be25a72e5</t>
  </si>
  <si>
    <t>54965bbe3e4f07ae045b90b0b8541f52</t>
  </si>
  <si>
    <t>9add47bf45ce8e8c7db6b9cf670b1e09</t>
  </si>
  <si>
    <t>ffff564a4f9085cd26170f4732393726</t>
  </si>
  <si>
    <t>1dc2de47ee26a0a5b12dc14fd6dc0dea</t>
  </si>
  <si>
    <t>f0b47fbbc6dee9aafe415a6e33051b3f</t>
  </si>
  <si>
    <t>744dac408745240a2c2528fb1b6028f3</t>
  </si>
  <si>
    <t>d50d79cb34e38265a8649c383dcffd48</t>
  </si>
  <si>
    <t>d03698c2efd04a549382afa6623e27fb</t>
  </si>
  <si>
    <t>e21a1e8be4715b0fcfd5385643bc49c4</t>
  </si>
  <si>
    <t>6481e96574816ead57975da2c0f6d80d</t>
  </si>
  <si>
    <t>d673a59aac7a70d8b01e6902bf090a11</t>
  </si>
  <si>
    <t>50c9975695009e5e6473912e83a6d1da</t>
  </si>
  <si>
    <t>53e4c6e0f4312d4d2107a8c9cddf45cd</t>
  </si>
  <si>
    <t>76d5af76d0271110f9af36c92573f765</t>
  </si>
  <si>
    <t>2a84855fd20af891be03bc5924d2b453</t>
  </si>
  <si>
    <t>17306570e772e7718c92a562d33f5f1d</t>
  </si>
  <si>
    <t>bba74270a87732727b5a3b4fd9ac1c39</t>
  </si>
  <si>
    <t>f3b80352b986ab4d1057a4b724be19d0</t>
  </si>
  <si>
    <t>3771c85bac139d2344864ede5d9341e3</t>
  </si>
  <si>
    <t>cce6ab8d1682639fe45ab70234f1665f</t>
  </si>
  <si>
    <t>113e3a788b935f48aad63e1c41dac1bd</t>
  </si>
  <si>
    <t>d3674f271c91f824f82d24d92011f669</t>
  </si>
  <si>
    <t>ce27a3cc3c8cc1ea79d11e561e9bebb6</t>
  </si>
  <si>
    <t>3340ef1913fb70d28420f6ceb685c339</t>
  </si>
  <si>
    <t>f615fe7efbef0f4f08fd3086bc7a3e60</t>
  </si>
  <si>
    <t>817245bcc3badd82bbd222e0366951a6</t>
  </si>
  <si>
    <t>8e8a7ce9f2f970dc00e2acf6f6e199f6</t>
  </si>
  <si>
    <t>5c6d4016c2a288f074fa0848a2b653d2</t>
  </si>
  <si>
    <t>edb1ef5e36e0c8cd84eb3c9b003e486d</t>
  </si>
  <si>
    <t>5c853bb56f70f4d14218944bae111d7a</t>
  </si>
  <si>
    <t>d57e18d5f73c7ccb7f7339b61166898d</t>
  </si>
  <si>
    <t>1caf283236cd69af44cbc09a0a1e7d32</t>
  </si>
  <si>
    <t>c9aafcd0621b2207c10e32c649cada4d</t>
  </si>
  <si>
    <t>5a93f3ab0ef4c84ed5e1b5dbf23978bc</t>
  </si>
  <si>
    <t>3504c0cb71d7fa48d967e0e4c94d59d9</t>
  </si>
  <si>
    <t>1ce3ae5a399804d1a87e706f8a813c3e</t>
  </si>
  <si>
    <t>503c1de08ae81a2d86f17951b204db55</t>
  </si>
  <si>
    <t>9b00ed88b7fdb95d6ff76e27c1b52d16</t>
  </si>
  <si>
    <t>822166ed1e47908f7cfb49946d03c726</t>
  </si>
  <si>
    <t>cd6efc47efaabf134f8bdb654e10b4f1</t>
  </si>
  <si>
    <t>c60b801f2d52c7f7f91de00870882a75</t>
  </si>
  <si>
    <t>81f89e42267213cb94da7ddc301651da</t>
  </si>
  <si>
    <t>8bd0f31cf0a614c658f6763bd02dea69</t>
  </si>
  <si>
    <t>834f3294fba9f932f56edc879193f925</t>
  </si>
  <si>
    <t>bbad7e518d7af88a0897397ffdca1979</t>
  </si>
  <si>
    <t>52d76513f0c4d97f3b99570e2c94ee31</t>
  </si>
  <si>
    <t>48162d548f5b1b11b9d29d1e01f75a61</t>
  </si>
  <si>
    <t>31344c16881c08a8a72c6d2eb29918c1</t>
  </si>
  <si>
    <t>ec8879960bd2221d5c32f8e12f7da711</t>
  </si>
  <si>
    <t>32b8764b4ef628b53608fc34011fcc13</t>
  </si>
  <si>
    <t>709e16e2b25c7474d980076c6bfc4806</t>
  </si>
  <si>
    <t>527801b552d0077ffd170872eb49683b</t>
  </si>
  <si>
    <t>6a8b085f816a1f75f92dbac6eb545f8f</t>
  </si>
  <si>
    <t>013900e863eace745d3ec7614cab5b1a</t>
  </si>
  <si>
    <t>c864036feaab8c1659f65ea4faebe1da</t>
  </si>
  <si>
    <t>0dd184061fb0eaa7ca37932c68ab91c5</t>
  </si>
  <si>
    <t>fd386aa7bed2af3c7035c65506c9b4a3</t>
  </si>
  <si>
    <t>391fc6631aebcf3004804e51b40bcf1e</t>
  </si>
  <si>
    <t>2d50d6282f8aa2257819a77bfaa0efe0</t>
  </si>
  <si>
    <t>157c3e4b42f81ac4a44e8b1ca2fe9876</t>
  </si>
  <si>
    <t>3df020b72d3d44b3af9d110fa3940b65</t>
  </si>
  <si>
    <t>f76a3b1349b6df1ee875d1f3fa4340f0</t>
  </si>
  <si>
    <t>6560211a19b47992c3666cc44a7e94c0</t>
  </si>
  <si>
    <t>855668e0971d4dfd7bef1b6a4133b41b</t>
  </si>
  <si>
    <t>0bf0150d5b9d60d9cd2906003332f085</t>
  </si>
  <si>
    <t>23613d49c3ac2bd302259e55c06c050c</t>
  </si>
  <si>
    <t>4e922959ae960d389249c378d1c939f5</t>
  </si>
  <si>
    <t>0432ead42b6c8a0bdf68154add917fdf</t>
  </si>
  <si>
    <t>3db66a856d18a9cba7c9241fc5221c50</t>
  </si>
  <si>
    <t>751bdc4d83a466c7206cd42e8f426b03</t>
  </si>
  <si>
    <t>2bf6a2c1e71bbd29a4ad64e6d3c3629f</t>
  </si>
  <si>
    <t>43f8c9950d11ecd03a0304a49e010da6</t>
  </si>
  <si>
    <t>4992e76a42cb3aad7a7047e0d3d7e729</t>
  </si>
  <si>
    <t>729b2d09b2a0bdab221076327f13d050</t>
  </si>
  <si>
    <t>f4aba7c0bca51484c30ab7bdc34bcdd1</t>
  </si>
  <si>
    <t>8a32e327fe2c1b3511609d81aaf9f042</t>
  </si>
  <si>
    <t>6c7d50c24b3ccd2fd83b44d8bb34e073</t>
  </si>
  <si>
    <t>93b9a99027bd8bd6af682aff18dd19bf</t>
  </si>
  <si>
    <t>dee656f0f566ed1aa85bd137c943f08f</t>
  </si>
  <si>
    <t>dd7ddc04e1b6c2c614352b383efe2d36</t>
  </si>
  <si>
    <t>b347677812ea483b0f528eaf8cbc09b7</t>
  </si>
  <si>
    <t>e5a38146df062edaf55c38afa99e42dc</t>
  </si>
  <si>
    <t>821fb029fc6e495ca4f08a35d51e53a5</t>
  </si>
  <si>
    <t>1ca7077d890b907f89be8c954a02686a</t>
  </si>
  <si>
    <t>b2a6d334e2833acea353624840e25a0e</t>
  </si>
  <si>
    <t>411f3b52d857390502ee4e4d5ceabc2d</t>
  </si>
  <si>
    <t>8e6cc767478edae941d9bd9eb778d77a</t>
  </si>
  <si>
    <t>30a2f535bb48308f991d0b9ad4a8c4bb</t>
  </si>
  <si>
    <t>5d0363b33554b373851fc1622e4d5f3c</t>
  </si>
  <si>
    <t>a49928bcdf77c55c6d6e05e09a9b4ca5</t>
  </si>
  <si>
    <t>adbc26658d6c7b4b6219f9d934598091</t>
  </si>
  <si>
    <t>6c177e38df6d3f34182b1f1d427231bf</t>
  </si>
  <si>
    <t>712e6ed8aa4aa1fa65dab41fed5737e4</t>
  </si>
  <si>
    <t>582d4f8675b945722eda7c0cb61ba4c7</t>
  </si>
  <si>
    <t>31561f325664a8a7aba4c8d0c3a9b3db</t>
  </si>
  <si>
    <t>17f51e7198701186712e53a39c564617</t>
  </si>
  <si>
    <t>d6b1ce66b035a475f00c017792ff9769</t>
  </si>
  <si>
    <t>7b0df942f46435babab05d49b744b2c4</t>
  </si>
  <si>
    <t>7aa4334be125fcdd2ba64b3180029f14</t>
  </si>
  <si>
    <t>a5cba26a62b8b4d0145b68b841e62e7f</t>
  </si>
  <si>
    <t>ececbfcff9804a2d6b40f589df8eef2b</t>
  </si>
  <si>
    <t>4bfc7a4a1cf8d4d2121c27422d9e50b5</t>
  </si>
  <si>
    <t>1d8dbc4f32378d715c717c1c1fc57bae</t>
  </si>
  <si>
    <t>1e8b33f18b4f7598d87f5cbee2282cc2</t>
  </si>
  <si>
    <t>cd06602b43d8800bd0afad514919d35c</t>
  </si>
  <si>
    <t>de722cd6dad950a92b7d4f82673f8833</t>
  </si>
  <si>
    <t>00ee68308b45bc5e2660cd833c3f81cc</t>
  </si>
  <si>
    <t>eed78ac17f7f795a19a709745f00cd4e</t>
  </si>
  <si>
    <t>2a1348e9addc1af5aaa619b1a3679d6b</t>
  </si>
  <si>
    <t>334cab711dee080b079fa5779b584783</t>
  </si>
  <si>
    <t>0241d4d5d36f10f80c644447315af0bd</t>
  </si>
  <si>
    <t>58f1a6197ed863543e0136bdedb3fce2</t>
  </si>
  <si>
    <t>78c99c6dff4eeae5be99bf635ed21e3f</t>
  </si>
  <si>
    <t>f4c4daa86e30c7e5a553a8d518ac03a5</t>
  </si>
  <si>
    <t>b64d51f0435e884e8de603b1655155ae</t>
  </si>
  <si>
    <t>dfc475d54e1b6dbeeb7d7d9bdaa63827</t>
  </si>
  <si>
    <t>1771297ac436903d1dd6b0e9279aa505</t>
  </si>
  <si>
    <t>42b729f859728f5079499127a9c2ef37</t>
  </si>
  <si>
    <t>f27e33c6d29b5138fa9967bcd445b6d5</t>
  </si>
  <si>
    <t>5f2684dab12e59f83bef73ae57724e45</t>
  </si>
  <si>
    <t>cb8bcce248bb1fb274ba762d8b971456</t>
  </si>
  <si>
    <t>e63e8bfa530fb16910dd6956e592bb81</t>
  </si>
  <si>
    <t>2e90cb1677d35cfe24eef47d441b7c87</t>
  </si>
  <si>
    <t>1da3aeb70d7989d1e6d9b0e887f97c23</t>
  </si>
  <si>
    <t>aba1721a889e04decc910aa13b768ef4</t>
  </si>
  <si>
    <t>c003204e1ab016dfa150abc119207b24</t>
  </si>
  <si>
    <t>fcdd820084f17e9982427971e4e9d47f</t>
  </si>
  <si>
    <t>1430239a858e7682bbc43b20758af153</t>
  </si>
  <si>
    <t>fffd5413c0700ac820c7069d66d98c89</t>
  </si>
  <si>
    <t>daeb5653dd96c1b11860f72209795012</t>
  </si>
  <si>
    <t>0d85bbda9889ce1f7e63778d24f346eb</t>
  </si>
  <si>
    <t>a3dd39f583bc80bd8c5901c95878921e</t>
  </si>
  <si>
    <t>325f3178fb58e2a9778334621eecdbf9</t>
  </si>
  <si>
    <t>f5a590cf36251cf1162ea35bef76fe84</t>
  </si>
  <si>
    <t>42bde9fef835393bb8a8849cb6b7f245</t>
  </si>
  <si>
    <t>83deb69e889cf80f82be1dc6d5f2d486</t>
  </si>
  <si>
    <t>0509040ea3fe50071181bbc359eb7738</t>
  </si>
  <si>
    <t>b4f8921fcc4ff77b66bea6dda43dcd51</t>
  </si>
  <si>
    <t>679769a98cfcc6da877c8486ff1c13f3</t>
  </si>
  <si>
    <t>d1b65fc7debc3361ea86b5f14c68d2e2</t>
  </si>
  <si>
    <t>3ade81dab5a172b88e1871c28ae05260</t>
  </si>
  <si>
    <t>973f21788dfab357250f69a8dcb7ddee</t>
  </si>
  <si>
    <t>18e694e0e48ed6f7aa3f24aade5fd697</t>
  </si>
  <si>
    <t>46dc3b2cc0980fb8ec44634e21d2718e</t>
  </si>
  <si>
    <t>7ddcbb64b5bc1ef36ca8c151f6ec77df</t>
  </si>
  <si>
    <t>6cd68b3ed6d59aaa9fece558ad360c0a</t>
  </si>
  <si>
    <t>f8db351d8c4c4c22c6835c19a46f01b0</t>
  </si>
  <si>
    <t>4c8b8048e33af2bf94f2eb547746a916</t>
  </si>
  <si>
    <t>fad44952713764836814be105382aee5</t>
  </si>
  <si>
    <t>d91fb3b7d041e83b64a00a3edfb37e4f</t>
  </si>
  <si>
    <t>4e7c18b98d84e05cbae3ff0ff03846c2</t>
  </si>
  <si>
    <t>05ff92fedb5be47920fea08e501238b9</t>
  </si>
  <si>
    <t>827f8f69dfa529c561901c4f2e0f332f</t>
  </si>
  <si>
    <t>f45122a9ab94eb4f3f8953578bc0c560</t>
  </si>
  <si>
    <t>b17b679f4f5ce2e03ce6968c62648246</t>
  </si>
  <si>
    <t>1bb2bdb95f4841f1bba2c0d2cd83d3c9</t>
  </si>
  <si>
    <t>9c0e69c7bf2619675bbadf47b43f655a</t>
  </si>
  <si>
    <t>6a38087bc8ad4f89ff453561005f6dea</t>
  </si>
  <si>
    <t>33a6f4b1e7cdc205511e76ba1b6e0186</t>
  </si>
  <si>
    <t>6df688df543f90e9b38f4319e75a9d88</t>
  </si>
  <si>
    <t>e067ad2c1c0b48758eb1b5228bcf7a68</t>
  </si>
  <si>
    <t>6288c69c4ce638e59925e59193f98b16</t>
  </si>
  <si>
    <t>972d0f9cf61b499a4812cf0bfa3ad3c4</t>
  </si>
  <si>
    <t>e5e33c0d8e7e002f398f5dc4cbbb338f</t>
  </si>
  <si>
    <t>5cf13accae3222c70a9cac40818ae839</t>
  </si>
  <si>
    <t>3d5d0dc7073a299e31fa718ce1bc00b6</t>
  </si>
  <si>
    <t>3586b8580d9c917874e053a1bb37b5ff</t>
  </si>
  <si>
    <t>26d8a1c7c75d513045798992ead43aa2</t>
  </si>
  <si>
    <t>55f7a3319d80f7fdf078b8f03e6725fe</t>
  </si>
  <si>
    <t>4d6d651bd7684af3fffabd5f08d12e5a</t>
  </si>
  <si>
    <t>c847e075301870dd144a116762eaff9a</t>
  </si>
  <si>
    <t>cca3071e3e9bb7d12640c9fbe2301306</t>
  </si>
  <si>
    <t>0afccdb8a34ee5c79f7c06faf2b4d56e</t>
  </si>
  <si>
    <t>624f4ece8da4aafb77699233d480f8ef</t>
  </si>
  <si>
    <t>5a8e7d5003a1f221f9e1d6e411de7c23</t>
  </si>
  <si>
    <t>5f5b43b2bffa8656e4bc6efeb13cc649</t>
  </si>
  <si>
    <t>ba90964cff9b9e0e6f32b23b82465f7b</t>
  </si>
  <si>
    <t>5058e8c1e82653974541e83690655b4a</t>
  </si>
  <si>
    <t>6b15924333bd1a741595fe981ea04822</t>
  </si>
  <si>
    <t>1d4587203296c8f4ad134dc286fa6db0</t>
  </si>
  <si>
    <t>f7ba60f8c3f99e7ee4042fdef03b70c4</t>
  </si>
  <si>
    <t>276677b5d08786d5dce7c2149dcce48b</t>
  </si>
  <si>
    <t>afe0067131b73e40875c9b6c10bd2e21</t>
  </si>
  <si>
    <t>0ffa40d54288e4f3499b8780dd0f144f</t>
  </si>
  <si>
    <t>abcd2cb37d46c2c8fb1bf071c859fc5b</t>
  </si>
  <si>
    <t>9d5a9018aee56acb367ba9c3f05d1d6a</t>
  </si>
  <si>
    <t>e59aa562b9f8076dd550fcddf0e73491</t>
  </si>
  <si>
    <t>808d4348b916efa08e766ebad39f61eb</t>
  </si>
  <si>
    <t>d23019c84ffae2d5ef2270367b8605fc</t>
  </si>
  <si>
    <t>900ba814c251a692506d7834c1218441</t>
  </si>
  <si>
    <t>05f51e13da97139648b8125c31e5f51b</t>
  </si>
  <si>
    <t>1900267e848ceeba8fa32d80c1a5f5a8</t>
  </si>
  <si>
    <t>1fe5540d7c1c37a595fefbacd5570d9e</t>
  </si>
  <si>
    <t>b8bc237ba3788b23da09c0f1f3a3288c</t>
  </si>
  <si>
    <t>adcf50477d6a1f5d91bb9d54c4903cb5</t>
  </si>
  <si>
    <t>7f7b8245c336066a1f9933c359f11d77</t>
  </si>
  <si>
    <t>7a67c85e85bb2ce8582c35f2203ad736</t>
  </si>
  <si>
    <t>903037660cf848a717166eb7a06d616e</t>
  </si>
  <si>
    <t>232a6014e7b10cba61c6c2b2ea6bb4b0</t>
  </si>
  <si>
    <t>79ebd9a61bac3eaf882805ed4ecfa12a</t>
  </si>
  <si>
    <t>40d54b51e962dbe09cabbcfd33298dee</t>
  </si>
  <si>
    <t>5b179e9e8cc7ab6fd113a46ca584da81</t>
  </si>
  <si>
    <t>c8467937e403e76a8ee9f0ab13f6f5ef</t>
  </si>
  <si>
    <t>02ecc2a19303f05e59ce133fd923fff7</t>
  </si>
  <si>
    <t>77530e9772f57a62c906e1c21538ab82</t>
  </si>
  <si>
    <t>2156f2671501a81034d7d07f217609d0</t>
  </si>
  <si>
    <t>cbd996ad3c1b7dc71fd0e5f5df9087e2</t>
  </si>
  <si>
    <t>f08c008c8a8d31417763738a1788a2a8</t>
  </si>
  <si>
    <t>602044f2c16190c2c6e45eb35c2e21cb</t>
  </si>
  <si>
    <t>c6381d2d013342748761e906d45aff76</t>
  </si>
  <si>
    <t>0bb738e4d789e63e2267697c42d35a2d</t>
  </si>
  <si>
    <t>730937bf88cb151eb2eb849f642fc213</t>
  </si>
  <si>
    <t>cb3dd9ce66268c7a3ca7241ac70ab58c</t>
  </si>
  <si>
    <t>aafe36600ce604f205b86b5084d3d767</t>
  </si>
  <si>
    <t>a673821011d0cec28146ea42f5ab767f</t>
  </si>
  <si>
    <t>0691148aee60ca47977c187804f935ae</t>
  </si>
  <si>
    <t>2e13c71026e1a39ba5cc1b86dcb679aa</t>
  </si>
  <si>
    <t>7d76b645482be4a332374e8223836592</t>
  </si>
  <si>
    <t>ff1fb4c404b2efe68b03350a8dc24122</t>
  </si>
  <si>
    <t>34d1ca11b242c0fee2c834ae8d788566</t>
  </si>
  <si>
    <t>e24d3429d294b2eb200b064ebb035879</t>
  </si>
  <si>
    <t>7e3f87d16fb353f408d467e74fbd8014</t>
  </si>
  <si>
    <t>b494891378bd8f4560abe576c52deacd</t>
  </si>
  <si>
    <t>ba143b05f0110f0dc71ad71b4466ce92</t>
  </si>
  <si>
    <t>240b9776d844d37535668549a396af32</t>
  </si>
  <si>
    <t>3ab971ce71839580d2ae5b4e40fe8044</t>
  </si>
  <si>
    <t>dd55f1bb788714a40e7954c3be6df745</t>
  </si>
  <si>
    <t>f46490624488d3ff7ce78613913a7711</t>
  </si>
  <si>
    <t>e49c26c3edfa46d227d5121a6b6e4d37</t>
  </si>
  <si>
    <t>1a3df491d1c4f1589fc2b934ada68bf2</t>
  </si>
  <si>
    <t>1835b56ce799e6a4dc4eddc053f04066</t>
  </si>
  <si>
    <t>750303a20e9c56b2a6bc45cdce0b897d</t>
  </si>
  <si>
    <t>4b0fdb526525f9890eb145bf1534640e</t>
  </si>
  <si>
    <t>cc5a78bbad32776dc4e3af205218368c</t>
  </si>
  <si>
    <t>25cf099de44674fde97473224f9d59ab</t>
  </si>
  <si>
    <t>2dee2ce60de9709b1a24083217181a1f</t>
  </si>
  <si>
    <t>4c18691b6037662be2df78a765d98ab5</t>
  </si>
  <si>
    <t>11305281b50fff20ae8bb473f8e11876</t>
  </si>
  <si>
    <t>99eaacc9e6046db1c82b163c5f84869f</t>
  </si>
  <si>
    <t>de23c3b98a88888289c6f5cc1209054a</t>
  </si>
  <si>
    <t>aaed1309374718fdd995ee4c58c9dfcd</t>
  </si>
  <si>
    <t>c8b3445d737de6befde0c88ede534a5e</t>
  </si>
  <si>
    <t>1b4c3a6f53068f0b6944d2d005c9fc89</t>
  </si>
  <si>
    <t>30829ded4523ab9224b93bc49a62c95f</t>
  </si>
  <si>
    <t>3361277dc30b7cccdb0c286b24219756</t>
  </si>
  <si>
    <t>669ae81880e08f269a64487cfb287169</t>
  </si>
  <si>
    <t>4a3ccda38b2129705f3fb522db62ca31</t>
  </si>
  <si>
    <t>d8c7ba53e7e38711eaef8c2849d6d2e1</t>
  </si>
  <si>
    <t>259f7b5e6e482c230e5bfaa670b6bb8f</t>
  </si>
  <si>
    <t>c3cfdc648177fdbbbb35635a37472c53</t>
  </si>
  <si>
    <t>7142540dd4c91e2237acb7e911c4eba2</t>
  </si>
  <si>
    <t>e9511df20ccd82658a30c37b7fb343af</t>
  </si>
  <si>
    <t>e9d99831abad74458942f21e16f33f92</t>
  </si>
  <si>
    <t>db2956745b3a8e9f3785c99f34b5d25e</t>
  </si>
  <si>
    <t>116ccb1a1604bc88e4d234a8c23f33de</t>
  </si>
  <si>
    <t>082e0bf4cb865a6533b1e8e498cc0255</t>
  </si>
  <si>
    <t>bd23da7354813347129d751591d1a6e2</t>
  </si>
  <si>
    <t>c31eff8334d6b3047ed34bebd4d62c36</t>
  </si>
  <si>
    <t>a7f13822ceb966b076af67121f87b063</t>
  </si>
  <si>
    <t>b14db04aa7881970e83ffa9426897925</t>
  </si>
  <si>
    <t>41da412d33e8da4f22baf55cb1bde82c</t>
  </si>
  <si>
    <t>a416b6a846a11724393025641d4edd5e</t>
  </si>
  <si>
    <t>4c498c7345e89aebad651544829beca0</t>
  </si>
  <si>
    <t>1464afc72f696af775557a821c2e253f</t>
  </si>
  <si>
    <t>4830e40640734fc1c52cd21127c341d4</t>
  </si>
  <si>
    <t>229c3efbfb0ea2058de4ccdfbc3d784a</t>
  </si>
  <si>
    <t>0ed6ce5d87fd9c69eaacaeb778d67235</t>
  </si>
  <si>
    <t>bd4889b5e9133b35b66e42a8665cea5c</t>
  </si>
  <si>
    <t>4b9750c8ad28220fe6702d4ecb7c898f</t>
  </si>
  <si>
    <t>ca3bd7cd9f149df75950150d010fe4a2</t>
  </si>
  <si>
    <t>4ebdc7e6cd6102a022dadc49156d4ea8</t>
  </si>
  <si>
    <t>5d3bb11474a06bdc23fb9e89f1164ee0</t>
  </si>
  <si>
    <t>f0837c8d71434931d9e38e7b79234797</t>
  </si>
  <si>
    <t>2745f798279e0ed033addcc1474776d7</t>
  </si>
  <si>
    <t>165fc07beebdcb6190fba8a06db2a449</t>
  </si>
  <si>
    <t>888faa8bfb0b159c37de6d898b961c31</t>
  </si>
  <si>
    <t>b32be1695eb7ec5f10f72d9610a12527</t>
  </si>
  <si>
    <t>6973a06f484aacf400ece213dbf3d946</t>
  </si>
  <si>
    <t>bc47d5d1490df2b36add65d733eafaba</t>
  </si>
  <si>
    <t>fa1c13f2614d7b5c4749cbc52fecda94</t>
  </si>
  <si>
    <t>d25aa0aaacb370e912f8cf6efeba38b3</t>
  </si>
  <si>
    <t>59fb871bf6f4522a87ba567b42dafecf</t>
  </si>
  <si>
    <t>070d165398b553f3b4b851c216b8a358</t>
  </si>
  <si>
    <t>b839e41795b7f3ad94cc2014a52f6796</t>
  </si>
  <si>
    <t>f67efa3f0b6761102a7f8c6b7b571f5d</t>
  </si>
  <si>
    <t>8f119a0aee85c0c8fc534629734e94fd</t>
  </si>
  <si>
    <t>16090f2ca825584b5a147ab24aa30c86</t>
  </si>
  <si>
    <t>c33847515fa6305ce6feb1e818569f13</t>
  </si>
  <si>
    <t>138dbe45fc62f1e244378131a6801526</t>
  </si>
  <si>
    <t>412a4720f3e9431b4afa1476a1acddbe</t>
  </si>
  <si>
    <t>b6d44737c043328708f6749c2dbe50bd</t>
  </si>
  <si>
    <t>0db783cfcd3b73998abc6e10e59a102f</t>
  </si>
  <si>
    <t>bacb1f0ed56ad24198f5810d2b3fe9a5</t>
  </si>
  <si>
    <t>d624126b9206f595fb3fbb6ba03b28a8</t>
  </si>
  <si>
    <t>d9a84e1403de8da0c3aa531d6d108ba6</t>
  </si>
  <si>
    <t>48efc9d94a9834137efd9ea76b065a38</t>
  </si>
  <si>
    <t>1b8356dabde1d35e17cef975c3f82730</t>
  </si>
  <si>
    <t>520b493b57809f446cb0a233bb3e25c7</t>
  </si>
  <si>
    <t>52f0fe436a347ddad7ed5f9aa4e27eaa</t>
  </si>
  <si>
    <t>4da0e408c99d2fdc2126dc9fce518060</t>
  </si>
  <si>
    <t>e48b04bf1aa1ef711caebeb7aede6180</t>
  </si>
  <si>
    <t>bccf933e006e9b94a6184af782963e77</t>
  </si>
  <si>
    <t>318f287a62ab7ac10b703ac37435a231</t>
  </si>
  <si>
    <t>91f848e9f4be368f4318775aac733370</t>
  </si>
  <si>
    <t>516e7738bd8f735ac19a010ee5450d8d</t>
  </si>
  <si>
    <t>49067458c68f7701fd334ce326accbe0</t>
  </si>
  <si>
    <t>f457c46070d02cadd8a68551231220dd</t>
  </si>
  <si>
    <t>3b15288545f8928d3e65a8f949a28291</t>
  </si>
  <si>
    <t>34056b8b55c1775a22af2331670a799c</t>
  </si>
  <si>
    <t>70c27847eca8195c983ed7e798c56743</t>
  </si>
  <si>
    <t>916c9de0b5ad957346eeeb12f332687e</t>
  </si>
  <si>
    <t>5bffbafbb22daf6d3bfc216a46db8708</t>
  </si>
  <si>
    <t>7ea5bfa6c340f58f8e71fc1f0412b0d6</t>
  </si>
  <si>
    <t>d566c37fa119d5e66c4e9052e83ee4ea</t>
  </si>
  <si>
    <t>1b938a7ec6ac5061a66a3766e0e75f90</t>
  </si>
  <si>
    <t>3c7c4a49ec3c6550809089c6a2ca9370</t>
  </si>
  <si>
    <t>6d66611d7c44cc30ce351abc49a68421</t>
  </si>
  <si>
    <t>966cb4760537b1404caedd472cc610a5</t>
  </si>
  <si>
    <t>ef990a83bbea832f36ebe81376335aa8</t>
  </si>
  <si>
    <t>7b07b3c7487f0ea825fc6df75abd658b</t>
  </si>
  <si>
    <t>bf00385a5f7fc1ef39a13c2e9ee50a5f</t>
  </si>
  <si>
    <t>960945e1a9535cbc0cd6ddd35fbe7ae8</t>
  </si>
  <si>
    <t>e6a69c4a27dfdd98ffe5aa757ad744bc</t>
  </si>
  <si>
    <t>376a891762bbdecbc02b4b6adec3fdda</t>
  </si>
  <si>
    <t>93dc87703c046b603023e75222018b45</t>
  </si>
  <si>
    <t>b4ffb71f0cb1b1c3d63fad021ecf93e1</t>
  </si>
  <si>
    <t>2a261b5b644fa05f4f2700eb93544f2c</t>
  </si>
  <si>
    <t>8cc6a0e5738e61a87b03c78b2ba9db4b</t>
  </si>
  <si>
    <t>e333046ce6517bd8bb510291d44f0130</t>
  </si>
  <si>
    <t>4c03b9dd4c11ee2cb35c96c49efc9420</t>
  </si>
  <si>
    <t>f3da5b2ff499efb8d4a6d371d175d7dd</t>
  </si>
  <si>
    <t>fde0cc9ea29c8ccfc0a2c22256a58c71</t>
  </si>
  <si>
    <t>d98eec89afa3380e14463da2aabaea72</t>
  </si>
  <si>
    <t>41c2bad7229b0c25e6becf179ebf63ff</t>
  </si>
  <si>
    <t>5f1dc28029d2c244352a68107ec2b542</t>
  </si>
  <si>
    <t>8e6d7754bc7e0f22c96d255ebda59eba</t>
  </si>
  <si>
    <t>f918546be4bec7104d117789ba758b2b</t>
  </si>
  <si>
    <t>cab85505710c7cb9b720bceb52b01cee</t>
  </si>
  <si>
    <t>5343d0649eca2a983820bfe93fc4d17e</t>
  </si>
  <si>
    <t>beadbee30901a7f61d031b6b686095ad</t>
  </si>
  <si>
    <t>48436dade18ac8b2bce089ec2a041202</t>
  </si>
  <si>
    <t>dd2bdf855a9172734fbc3744021ae9b9</t>
  </si>
  <si>
    <t>0d33a55da925bbf1ff02af5f6059fc7f</t>
  </si>
  <si>
    <t>897060da8b9a21f655304d50fd935913</t>
  </si>
  <si>
    <t>2a7dc43cecabf23403078e2188437d1d</t>
  </si>
  <si>
    <t>af3ef48d0e13835e529c29ac573c63e5</t>
  </si>
  <si>
    <t>9646c3513289980f17226a2fc4720dbd</t>
  </si>
  <si>
    <t>620c87c171fb2a6dd6e8bb4dec959fc6</t>
  </si>
  <si>
    <t>09f952a5f58d2285b0372551ae8f9b01</t>
  </si>
  <si>
    <t>38e679b9e0064cd94c6f035707344dae</t>
  </si>
  <si>
    <t>f61c63d13f7cd800549d5acdd390ae72</t>
  </si>
  <si>
    <t>ed4311e67debd72b8610a5347a743087</t>
  </si>
  <si>
    <t>17a053fcb14bd219540cbde0df490be0</t>
  </si>
  <si>
    <t>f181738b150df1f37cb0bd72e705b193</t>
  </si>
  <si>
    <t>7a241947449cc45dbfda4f9d0798d9d0</t>
  </si>
  <si>
    <t>85d9eb9ddc5d00ca9336a2219c97bb13</t>
  </si>
  <si>
    <t>ac3508719a1d8f5b7614b798f70af136</t>
  </si>
  <si>
    <t>715bbd5ba4e6b74cb0d2f29eb45058b0</t>
  </si>
  <si>
    <t>14d7985702e72162bbf13b6beb74ab2b</t>
  </si>
  <si>
    <t>57c764b4a836300be881e2ff86e449f9</t>
  </si>
  <si>
    <t>e8b3a3a38279a82f0e5d006d5e5b7d2c</t>
  </si>
  <si>
    <t>10076e5788b8ee532724bcd460baf762</t>
  </si>
  <si>
    <t>a6fe7de3d16f6149ffe280349a8535a0</t>
  </si>
  <si>
    <t>ad781527c93d00d89a11eecd9dcad7c1</t>
  </si>
  <si>
    <t>1838dd9b8977065acf51d95e0053ea7a</t>
  </si>
  <si>
    <t>2a61c271b1ac763450d846849783e922</t>
  </si>
  <si>
    <t>ef0ace09169ac090589d85746e3e036f</t>
  </si>
  <si>
    <t>d51e0a403fe2e689ece6c73359d96e12</t>
  </si>
  <si>
    <t>abe42c5d03695b4257b5c6cbf4e6784e</t>
  </si>
  <si>
    <t>238fac594e170b59c6d228f5a4f4f1d9</t>
  </si>
  <si>
    <t>95e03ca3d4146e4011985981aeb959b9</t>
  </si>
  <si>
    <t>37515688008a7a40ac93e3b2e4ab203f</t>
  </si>
  <si>
    <t>e0a366315b1b726b6c7832d664c0f530</t>
  </si>
  <si>
    <t>66dc1b1632bd6a3e508510c5b3492107</t>
  </si>
  <si>
    <t>6ec1a01e866584bb679eb9b098345919</t>
  </si>
  <si>
    <t>e26901d5ab434ce92fd9b5c256820a4e</t>
  </si>
  <si>
    <t>7dc8c42cc750eeafea6c85712ffee9bf</t>
  </si>
  <si>
    <t>65b081a070633e057c462abdd6fb9dd8</t>
  </si>
  <si>
    <t>a3a38f4affed601eb87a97788c949667</t>
  </si>
  <si>
    <t>2709af9587499e95e803a6498a5a56e9</t>
  </si>
  <si>
    <t>835f0f7810c76831d6c7d24c7a646d4d</t>
  </si>
  <si>
    <t>a420f60ff1aa9acc80d0e42959f2b313</t>
  </si>
  <si>
    <t>f00e21b1e91a79653163b7fd8f293ff1</t>
  </si>
  <si>
    <t>a938325a4b357fd23a6a4d5bb126408e</t>
  </si>
  <si>
    <t>0176f73cc1195f367f7b32db1e5b3aa8</t>
  </si>
  <si>
    <t>729f06993dac8e860d4f02d7088ca48a</t>
  </si>
  <si>
    <t>7ad32824caee82087b3e2e5f33b1bf32</t>
  </si>
  <si>
    <t>70eea00b476a314817cefde4aad4f89a</t>
  </si>
  <si>
    <t>bd0389da23d89b726abf911cccc54596</t>
  </si>
  <si>
    <t>a888faf2d1baececa6baf9c3d603ee1f</t>
  </si>
  <si>
    <t>725c32fa80c2faacc4fc88450d27314e</t>
  </si>
  <si>
    <t>cfb1a033743668a192316f3c6d1d2671</t>
  </si>
  <si>
    <t>b76dba6c951ab00dc4edf0a1aa88037e</t>
  </si>
  <si>
    <t>b1a81260566c1bac3114a6d124413f27</t>
  </si>
  <si>
    <t>fa1a9dec3a9940c072684a46728bf1fc</t>
  </si>
  <si>
    <t>634964b17796e64304cadf1ad3050fb7</t>
  </si>
  <si>
    <t>d2374cbcbb3ca4ab1086534108cc3ab7</t>
  </si>
  <si>
    <t>d1ef48b38baca7e831711c4a0aeb398f</t>
  </si>
  <si>
    <t>058fd0aa2bfdb2274e05e1ae971dabb6</t>
  </si>
  <si>
    <t>94144541854e298c2d976cb893b81343</t>
  </si>
  <si>
    <t>6aa3928696eab49a19a466e665a649fd</t>
  </si>
  <si>
    <t>381c83fdca332ea6afd896da20bf6e4a</t>
  </si>
  <si>
    <t>b33e7c55446eabf8fe1a42d037ac7d6d</t>
  </si>
  <si>
    <t>5670f4db5b62c43d542e1b2d56b0cf7c</t>
  </si>
  <si>
    <t>681fce914360217db47784ae28905a96</t>
  </si>
  <si>
    <t>b499c00f28f4b7069ff6550af8c1348a</t>
  </si>
  <si>
    <t>df560393f3a51e74553ab94004ba5c87</t>
  </si>
  <si>
    <t>e89c4adbe7b1d0819dbb636e16461cf1</t>
  </si>
  <si>
    <t>42ef3192a9ff87a22d1867b74b3ee205</t>
  </si>
  <si>
    <t>5f3ae9136c875522250f8184f253413a</t>
  </si>
  <si>
    <t>b2ac621f0d0322434d04a12b078b9369</t>
  </si>
  <si>
    <t>4aba391bc3b88717ce08eb11e44937b2</t>
  </si>
  <si>
    <t>00720abe85ba0859807595bbf045a33b</t>
  </si>
  <si>
    <t>aac29b1b99776be73c3049939652091d</t>
  </si>
  <si>
    <t>25e6ffe976bd75618accfe16cefcbd0d</t>
  </si>
  <si>
    <t>fc906263ca5083d09dce42fe02247800</t>
  </si>
  <si>
    <t>7e1fb0a3ebfb01ffb3a7dae98bf3238d</t>
  </si>
  <si>
    <t>128639473a139ac0f3e5f5ade55873a5</t>
  </si>
  <si>
    <t>f97e2b0650c2068227e1d366140eb62f</t>
  </si>
  <si>
    <t>2e1c9f22be269ef4643f826c9e650a52</t>
  </si>
  <si>
    <t>382229d1e840115ffe3dbf5ff460e417</t>
  </si>
  <si>
    <t>dbc22125167c298ef99da25668e1011f</t>
  </si>
  <si>
    <t>d20b021d3efdf267a402c402a48ea64b</t>
  </si>
  <si>
    <t>bc2ac6b95e1accce9858528ee566c17e</t>
  </si>
  <si>
    <t>33576ec5412fb5905d876f12f33bfde6</t>
  </si>
  <si>
    <t>0c7533c71df861ec58ad7ff999ed0e8d</t>
  </si>
  <si>
    <t>eeb6de78f79159600292e314a77cbd18</t>
  </si>
  <si>
    <t>f125f3a310c2e5f822d116147de1e474</t>
  </si>
  <si>
    <t>001cca7ae9ae17fb1caed9dfb1094831</t>
  </si>
  <si>
    <t>ffdd9f82b9a447f6f8d4b91554cc7dd3</t>
  </si>
  <si>
    <t>5160d23075764e18e07c1f4a87fad743</t>
  </si>
  <si>
    <t>bf84056e679dbe9c69929847a40e338f</t>
  </si>
  <si>
    <t>994f04b3718c2bab35c2adfa8afecd2a</t>
  </si>
  <si>
    <t>01fdefa7697d26ad920e9e0346d4bd1b</t>
  </si>
  <si>
    <t>ccf8813e5a7d6c84d865cd38bfc2b130</t>
  </si>
  <si>
    <t>edf96ef93ed595084bbcbd9224bd2894</t>
  </si>
  <si>
    <t>0bae85eb84b9fb3bd773911e89288d54</t>
  </si>
  <si>
    <t>37be5a7c751166fbc5f8ccba4119e043</t>
  </si>
  <si>
    <t>08633c14ef2db992c11f840f04fad4cd</t>
  </si>
  <si>
    <t>7202e2ba20579a9bd1acb29e61fe71f6</t>
  </si>
  <si>
    <t>7f2617c58d5d06806987308b45654351</t>
  </si>
  <si>
    <t>ce616e1913288884e7742faac9d981db</t>
  </si>
  <si>
    <t>e99e927c81e3f51739c94fcdfca9f10f</t>
  </si>
  <si>
    <t>718539d38d07dd351c76db862760e2e2</t>
  </si>
  <si>
    <t>f4db9b37944bcb8873e6b456ee190bbf</t>
  </si>
  <si>
    <t>3b872fd4747f01cc56206f2934198618</t>
  </si>
  <si>
    <t>18a349e75d307f4b4cc646a691ed4216</t>
  </si>
  <si>
    <t>d97df38225e5abadaff1e72cb72b823c</t>
  </si>
  <si>
    <t>83e197e95a1bbabc8c75e883ed016c47</t>
  </si>
  <si>
    <t>834f8533b2ecb6598dd004ff3de7203a</t>
  </si>
  <si>
    <t>f7496d659ca9fdaf323c0aae84176632</t>
  </si>
  <si>
    <t>8c5e007d7bd5693fa1386ffefbc99f6c</t>
  </si>
  <si>
    <t>86ccac0b835037332a596a33b6949ee1</t>
  </si>
  <si>
    <t>4e06067cc08b3f41d837768d392c3ee3</t>
  </si>
  <si>
    <t>8d956fec2e4337affcb520f56fd8cbfd</t>
  </si>
  <si>
    <t>02f5837340d7eb4f653d676c7256523a</t>
  </si>
  <si>
    <t>15aac934c58d886785ac1b17953ea898</t>
  </si>
  <si>
    <t>ffc470761de7d0232558ba5e786e57b7</t>
  </si>
  <si>
    <t>b372ee768ed69e46ca8cdbd267aa7a38</t>
  </si>
  <si>
    <t>33a17d60c64393351ebf1ef860f4e0f2</t>
  </si>
  <si>
    <t>e9779976487b77c6d4ac45f75ec7afe9</t>
  </si>
  <si>
    <t>ce7d1888639e6fb06b2749cbfdac1ff7</t>
  </si>
  <si>
    <t>1c129092bf23f28a5930387c980c0dfc</t>
  </si>
  <si>
    <t>1a932caad4f9d804097d7f8e615baed1</t>
  </si>
  <si>
    <t>0725b8c0f3f906e58f70cbe76b7c748c</t>
  </si>
  <si>
    <t>2eb70248d66e0e3ef83659f71b244378</t>
  </si>
  <si>
    <t>1c68394e931a64f90ea236c5ea590300</t>
  </si>
  <si>
    <t>7d456afc660226829370f3173d14520c</t>
  </si>
  <si>
    <t>6b536a23086fba0d58c08d68814397f6</t>
  </si>
  <si>
    <t>efcd8d2104f1a05d028af7bad20d974b</t>
  </si>
  <si>
    <t>5bc55dbe2f12b6af6d83ed46023e0dc8</t>
  </si>
  <si>
    <t>0b35c634521043bf4b47e21547b99ab5</t>
  </si>
  <si>
    <t>4371b634e0efc0e22b09b52907d9d469</t>
  </si>
  <si>
    <t>79ed755314cfe6df0daef2c6cd3022cd</t>
  </si>
  <si>
    <t>430315b7bb4b6e4b3c978f9dfa9b0558</t>
  </si>
  <si>
    <t>8b2492b7ff4468839593fafeed55bad9</t>
  </si>
  <si>
    <t>9bcdfa7b615b3abb9461d9e3ad9886ae</t>
  </si>
  <si>
    <t>5b8154610ebb21fb90eb587365e673df</t>
  </si>
  <si>
    <t>c35672b10ad50968f567ea3f4b91e877</t>
  </si>
  <si>
    <t>3c487ae8f8d7542beff5788e2e0aea83</t>
  </si>
  <si>
    <t>0be8ff43f22e456b4e0371b2245e4d01</t>
  </si>
  <si>
    <t>e62b2d6ac10570a035a30bafcf01d263</t>
  </si>
  <si>
    <t>dd533b429f380718b70ad9922c294bae</t>
  </si>
  <si>
    <t>0cbcee27c791afa0cdcb08587a2013a8</t>
  </si>
  <si>
    <t>31da954dc0855f2495c6310f70a2f931</t>
  </si>
  <si>
    <t>52f9db5cfb423382a2fa5c9e39303202</t>
  </si>
  <si>
    <t>1f1bb1f0859883505541bdd6606193e5</t>
  </si>
  <si>
    <t>4e17c65a516f69d023a2ae78b84f28d6</t>
  </si>
  <si>
    <t>6d988d6174a2c27441597174f8905515</t>
  </si>
  <si>
    <t>f7ccf836d21b2fb1de37564105216cc1</t>
  </si>
  <si>
    <t>870d0118f7a9d85960f29ad89d5d989a</t>
  </si>
  <si>
    <t>66e0557ecc2b4dbea057e93f215f68d8</t>
  </si>
  <si>
    <t>9674754b5a0cb32b638cec001178f799</t>
  </si>
  <si>
    <t>2528513dd95219a6013d4d05176e391a</t>
  </si>
  <si>
    <t>d94a40fd42351c259927028d163af842</t>
  </si>
  <si>
    <t>66fd84ee7528c0c0de85d0f44a73d5ab</t>
  </si>
  <si>
    <t>5c243662ce92d84573bfaff24c3e3700</t>
  </si>
  <si>
    <t>272f092de69afedd4d2969440b37f18f</t>
  </si>
  <si>
    <t>1f9ab4708f3056ede07124aad39a2554</t>
  </si>
  <si>
    <t>b1fc4f64df5a0e8b6913ab38803c57a9</t>
  </si>
  <si>
    <t>cea729054f157f5870bdd321a958d994</t>
  </si>
  <si>
    <t>bfd27a966d91cfaafdb25d076585f0da</t>
  </si>
  <si>
    <t>ccc4bbb5f32a6ab2b7066a4130f114e3</t>
  </si>
  <si>
    <t>4a1f694197d05fe70026b016a7316b41</t>
  </si>
  <si>
    <t>9596c870880d900012f2e8e6e30d06d7</t>
  </si>
  <si>
    <t>fa40cc5b934574b62717c68f3d678b6d</t>
  </si>
  <si>
    <t>b18871c324516afa228a13e8f1ef0ae9</t>
  </si>
  <si>
    <t>c6bda72e4dbf5c5866b13cb1810c6d03</t>
  </si>
  <si>
    <t>048c2757535328e0d7dac690ad3c0aae</t>
  </si>
  <si>
    <t>3a734b715d333a2588a3d54a0c9b8746</t>
  </si>
  <si>
    <t>23d7c96d4a1160db1c726b248601b25a</t>
  </si>
  <si>
    <t>3dbbce181edfaa4a597ec858c382d2ec</t>
  </si>
  <si>
    <t>1354d51653f645349064725ed204e85e</t>
  </si>
  <si>
    <t>59b22a78efb79a4797979612b885db36</t>
  </si>
  <si>
    <t>977f9f63dd360c2a32ece2f93ad6d306</t>
  </si>
  <si>
    <t>8444e55c1f13cd5c179851e5ca5ebd00</t>
  </si>
  <si>
    <t>04308b1ee57b6625f47df1d56f00eedf</t>
  </si>
  <si>
    <t>0ebd97a106433a45a4aebe57c1799778</t>
  </si>
  <si>
    <t>f80edd2c5aaa505cc4b0a3b219abf4b8</t>
  </si>
  <si>
    <t>f63d8f293af3a6454377546bd9dd19ff</t>
  </si>
  <si>
    <t>7ecd59e5e20407131822c1a68ac59c1f</t>
  </si>
  <si>
    <t>9de4643a8dbde634fe55621059d92273</t>
  </si>
  <si>
    <t>2a6fbeaa7ab9e5d59a35841a8da71ce4</t>
  </si>
  <si>
    <t>0ea22c1cfbdc755f86b9b54b39c16043</t>
  </si>
  <si>
    <t>670c26e0f1bf8d0576271d5cfaec6d2b</t>
  </si>
  <si>
    <t>f84fa566034f5e8e880a07ec624c56af</t>
  </si>
  <si>
    <t>cee48807215b30a12ca2ca10ffb5f250</t>
  </si>
  <si>
    <t>b83cedfb587e7911540e3f576d6917ce</t>
  </si>
  <si>
    <t>f789d2c4f2c2eb38fc4373e7a4b35264</t>
  </si>
  <si>
    <t>d5ba419e26d246a0719437cf37d9b46d</t>
  </si>
  <si>
    <t>8ab42aa58097fd4668d60cc648225d5f</t>
  </si>
  <si>
    <t>6426d21aca402a131fc0a5d0960a3c90</t>
  </si>
  <si>
    <t>4917cee8d902e13428c3ec4b1ca6f315</t>
  </si>
  <si>
    <t>92eb0f42c21942b6552362b9b114707d</t>
  </si>
  <si>
    <t>b90e891671cffd9557f33a97dc523645</t>
  </si>
  <si>
    <t>a2e874074c877c5a05abae80ad6e488f</t>
  </si>
  <si>
    <t>643214e62b870443ccbe55ab29a4dccf</t>
  </si>
  <si>
    <t>612170e34b97004b3ba37eae81836b4c</t>
  </si>
  <si>
    <t>b74d1c09cb380e1d03a6f859c6f4224b</t>
  </si>
  <si>
    <t>7d13fca15225358621be4086e1eb0964</t>
  </si>
  <si>
    <t>ea566164622c6b439516ab18062c42cd</t>
  </si>
  <si>
    <t>5debea795b07621e1f90532e18f96145</t>
  </si>
  <si>
    <t>8f2ce03f928b567e3d56181ae20ae952</t>
  </si>
  <si>
    <t>6e386f64c84e482f0b9abf960797ee1b</t>
  </si>
  <si>
    <t>9f505651f4a6abe901a56cdc21508025</t>
  </si>
  <si>
    <t>6039e27294dc75811c0d8a39069f52c0</t>
  </si>
  <si>
    <t>3481aa57cd91f9f9d3fa1fa12d9a3bf7</t>
  </si>
  <si>
    <t>6b243f80ed07b10f0e8aa0f21a205f3c</t>
  </si>
  <si>
    <t>13d058e4eeac2ce8217660b2f8a05812</t>
  </si>
  <si>
    <t>7c5b05cbdb5542049f38d90d7815b97d</t>
  </si>
  <si>
    <t>0885aaf116795758dfeb5f1032487bcd</t>
  </si>
  <si>
    <t>b56906f7fd1696e043f1bcce164c487b</t>
  </si>
  <si>
    <t>431af27f296bc6519d890aa5a05fdb11</t>
  </si>
  <si>
    <t>e5a3438891c0bfdb9394643f95273d8e</t>
  </si>
  <si>
    <t>099095b050cfe8eb1ddff5317587e96e</t>
  </si>
  <si>
    <t>2c9e548be18521d1c43cde1c582c6de8</t>
  </si>
  <si>
    <t>6f892e20a171e98efe17fdb971ff319b</t>
  </si>
  <si>
    <t>ad420dd0c4f92f8af951ac24b86d0cf5</t>
  </si>
  <si>
    <t>9dda5bbacd45e18d6485fee649205d09</t>
  </si>
  <si>
    <t>066a6914e1ebf3ea95a216c73a986b91</t>
  </si>
  <si>
    <t>acce39e832338debb07b02385cde5967</t>
  </si>
  <si>
    <t>f62d7bb4a613ec758a03342d46b580b2</t>
  </si>
  <si>
    <t>ef2fbc2b607d8492bcffe657a4645434</t>
  </si>
  <si>
    <t>6a0cbc8af2e8abd1bdfb777943d174c6</t>
  </si>
  <si>
    <t>98dac6635aee4995d501a3972e047414</t>
  </si>
  <si>
    <t>25c5c91f63607446a97b143d2d535d31</t>
  </si>
  <si>
    <t>4bf2f4ee540798a61f9636d12cd9cc80</t>
  </si>
  <si>
    <t>28f10b1c5e5abb9d4857745bede6147c</t>
  </si>
  <si>
    <t>05d2173d43ea568aa0540eba70d2ca76</t>
  </si>
  <si>
    <t>bb135baca94c82fcb731335ad5b04a03</t>
  </si>
  <si>
    <t>65febd49fd28ec955651299159b1f527</t>
  </si>
  <si>
    <t>06a2c3af7b3aee5d69171b0e14f0ee87</t>
  </si>
  <si>
    <t>b2479f944e1b90cf8a5de1bbfde284d6</t>
  </si>
  <si>
    <t>81a1104df0f08b59c68aa5b03cfe398e</t>
  </si>
  <si>
    <t>96804ea39d96eb908e7c3afdb671bb9e</t>
  </si>
  <si>
    <t>da8622b14eb17ae2831f4ac5b9dab84a</t>
  </si>
  <si>
    <t>8a130737016f838139d31878787a39c9</t>
  </si>
  <si>
    <t>3c03b12bab54d8b37d79d914bfdb1aa0</t>
  </si>
  <si>
    <t>e8f6dc8e6a1dcde89d20e3995c8d90b3</t>
  </si>
  <si>
    <t>562fc2f2c2863ab7e79a9e4388a58a14</t>
  </si>
  <si>
    <t>8160255418d5aaa7dbdc9f4c64ebda44</t>
  </si>
  <si>
    <t>440dd6ab244315c632130ecfb63827b1</t>
  </si>
  <si>
    <t>76d64c4aca3a7baf218bf93ef7fa768d</t>
  </si>
  <si>
    <t>ea8482cd71df3c1969d7b9473ff13abc</t>
  </si>
  <si>
    <t>218d46b86c1881d022bce9c68a7d4b15</t>
  </si>
  <si>
    <t>e84ad2127668df3aafc6b73531a0beb8</t>
  </si>
  <si>
    <t>4b5f66b7adcf57f1ecc0d3c07dd6b177</t>
  </si>
  <si>
    <t>7681ef142fd2c19048da7430856b5588</t>
  </si>
  <si>
    <t>72c5da29406b4234927b81855e7b64f6</t>
  </si>
  <si>
    <t>d71d863e5ef30d94e440c11be17dcd8f</t>
  </si>
  <si>
    <t>c0563dd588b775f2e37747ef6ad6c92c</t>
  </si>
  <si>
    <t>8bb48dc19fccaa8613b6229bf7f452a2</t>
  </si>
  <si>
    <t>9e6229250fedbe05838fef417b74e7fb</t>
  </si>
  <si>
    <t>289cdb325fb7e7f891c38608bf9e0962</t>
  </si>
  <si>
    <t>ce248b21cb2adc36282ede306b7660e5</t>
  </si>
  <si>
    <t>b8555308bfdb4ca1ed54325a58da9a97</t>
  </si>
  <si>
    <t>6fc26fe110feebd80a433e1f012a84f9</t>
  </si>
  <si>
    <t>53243585a1d6dc2643021fd1853d8905</t>
  </si>
  <si>
    <t>891071be6ba827b591264c90c2ae8a63</t>
  </si>
  <si>
    <t>77a515caa36327151d1cc6c32a9f00e1</t>
  </si>
  <si>
    <t>5b664594895aefb418afaee6d40a9a23</t>
  </si>
  <si>
    <t>c72de06d72748d1a0dfb2125be43ba63</t>
  </si>
  <si>
    <t>2e1a7d075abe038c1b2743005fe42ff1</t>
  </si>
  <si>
    <t>cac876b37d3abcd6bd76caca30277996</t>
  </si>
  <si>
    <t>14a08204d03bb6b6bde8029f801ae0eb</t>
  </si>
  <si>
    <t>94e93ce877be27a515118dbfd2c2be41</t>
  </si>
  <si>
    <t>75d34ebb1bd0bd7dde40dd507b8169c3</t>
  </si>
  <si>
    <t>a1043bafd471dff536d0c462352beb48</t>
  </si>
  <si>
    <t>cfe94489ddd337d1e29e12f2a7205d10</t>
  </si>
  <si>
    <t>11bfa66332777660bd0640ee84d47006</t>
  </si>
  <si>
    <t>198c7ea11960a9844b544d9bcdca860c</t>
  </si>
  <si>
    <t>7e93a43ef30c4f03f38b393420bc753a</t>
  </si>
  <si>
    <t>213b25e6f54661939f11710a6fddb871</t>
  </si>
  <si>
    <t>1127b7f2594683f2510f1c2c834a486b</t>
  </si>
  <si>
    <t>845e8036c3f7bf62099352f5ed910240</t>
  </si>
  <si>
    <t>01cf7e3d21494c41fb86034f2e714fa1</t>
  </si>
  <si>
    <t>Statistical outliers. &gt; 2 std away from the mean</t>
  </si>
  <si>
    <t>seller_city</t>
  </si>
  <si>
    <t>seller_state</t>
  </si>
  <si>
    <t>outstanding_how</t>
  </si>
  <si>
    <t>sao paulo</t>
  </si>
  <si>
    <t>SP</t>
  </si>
  <si>
    <t>bad</t>
  </si>
  <si>
    <t>santana de parnaiba</t>
  </si>
  <si>
    <t>ibitinga</t>
  </si>
  <si>
    <t>belo horizonte</t>
  </si>
  <si>
    <t>MG</t>
  </si>
  <si>
    <t>campinas</t>
  </si>
  <si>
    <t>good</t>
  </si>
  <si>
    <t>santo andre</t>
  </si>
  <si>
    <t>natal</t>
  </si>
  <si>
    <t>RN</t>
  </si>
  <si>
    <t>curitiba</t>
  </si>
  <si>
    <t>PR</t>
  </si>
  <si>
    <t>itaquaquecetuba</t>
  </si>
  <si>
    <t>foz do iguacu</t>
  </si>
  <si>
    <t>coronel fabriciano</t>
  </si>
  <si>
    <t>campina das missoes</t>
  </si>
  <si>
    <t>RS</t>
  </si>
  <si>
    <t>congonhal</t>
  </si>
  <si>
    <t>sao jose dos campos</t>
  </si>
  <si>
    <t>borda da mata</t>
  </si>
  <si>
    <t>brusque</t>
  </si>
  <si>
    <t>SC</t>
  </si>
  <si>
    <t>claudio</t>
  </si>
  <si>
    <t>sao jose do rio preto</t>
  </si>
  <si>
    <t>divinopolis</t>
  </si>
  <si>
    <t>campo grande</t>
  </si>
  <si>
    <t>MS</t>
  </si>
  <si>
    <t>portao</t>
  </si>
  <si>
    <t>osasco</t>
  </si>
  <si>
    <t>guarulhos</t>
  </si>
  <si>
    <t>porto ferreira</t>
  </si>
  <si>
    <t>santa terezinha de itaipu</t>
  </si>
  <si>
    <t>ribeirao preto</t>
  </si>
  <si>
    <t>count</t>
  </si>
  <si>
    <t>Row Labels</t>
  </si>
  <si>
    <t>Grand Total</t>
  </si>
  <si>
    <t>Column Labels</t>
  </si>
  <si>
    <t>Sum of count</t>
  </si>
  <si>
    <t>cariacica</t>
  </si>
  <si>
    <t>ES</t>
  </si>
  <si>
    <t>franca</t>
  </si>
  <si>
    <t>maringa</t>
  </si>
  <si>
    <t>francisco beltrao</t>
  </si>
  <si>
    <t>ribeirao preto / sao paulo</t>
  </si>
  <si>
    <t>londrina</t>
  </si>
  <si>
    <t>botucatu</t>
  </si>
  <si>
    <t>bombinhas</t>
  </si>
  <si>
    <t>maua</t>
  </si>
  <si>
    <t>itajobi</t>
  </si>
  <si>
    <t>queimados</t>
  </si>
  <si>
    <t>RJ</t>
  </si>
  <si>
    <t>alfenas</t>
  </si>
  <si>
    <t>santo angelo</t>
  </si>
  <si>
    <t>lajeado</t>
  </si>
  <si>
    <t>sao paulo - sp</t>
  </si>
  <si>
    <t>sao luis</t>
  </si>
  <si>
    <t>MA</t>
  </si>
  <si>
    <t>porto alegre</t>
  </si>
  <si>
    <t>ribeirao pires</t>
  </si>
  <si>
    <t>ferraz de vasconcelos</t>
  </si>
  <si>
    <t>marilia</t>
  </si>
  <si>
    <t>sao bernardo do campo</t>
  </si>
  <si>
    <t>louveira</t>
  </si>
  <si>
    <t>uberlandia</t>
  </si>
  <si>
    <t>teixeira soares</t>
  </si>
  <si>
    <t>itajai</t>
  </si>
  <si>
    <t>sao roque</t>
  </si>
  <si>
    <t>valinhos</t>
  </si>
  <si>
    <t>tres coracoes</t>
  </si>
  <si>
    <t>santos</t>
  </si>
  <si>
    <t>betim</t>
  </si>
  <si>
    <t>sete lagoas</t>
  </si>
  <si>
    <t>contagem</t>
  </si>
  <si>
    <t>americana</t>
  </si>
  <si>
    <t>presidente prudente</t>
  </si>
  <si>
    <t>batatais</t>
  </si>
  <si>
    <t>uba</t>
  </si>
  <si>
    <t>aparecida</t>
  </si>
  <si>
    <t>montenegro</t>
  </si>
  <si>
    <t>assis</t>
  </si>
  <si>
    <t>nova friburgo</t>
  </si>
  <si>
    <t>monte siao</t>
  </si>
  <si>
    <t>muqui</t>
  </si>
  <si>
    <t>atibaia</t>
  </si>
  <si>
    <t>bariri</t>
  </si>
  <si>
    <t>mogi guacu</t>
  </si>
  <si>
    <t>riberao preto</t>
  </si>
  <si>
    <t>varzea paulista</t>
  </si>
  <si>
    <t>jacutinga</t>
  </si>
  <si>
    <t>joinville</t>
  </si>
  <si>
    <t>sao ludgero</t>
  </si>
  <si>
    <t>penapolis</t>
  </si>
  <si>
    <t>limeira</t>
  </si>
  <si>
    <t>sarandi</t>
  </si>
  <si>
    <t>nova iguacu</t>
  </si>
  <si>
    <t>jaguaruna</t>
  </si>
  <si>
    <t>arapongas</t>
  </si>
  <si>
    <t>tupa</t>
  </si>
  <si>
    <t>paraiba do sul</t>
  </si>
  <si>
    <t>sao carlos</t>
  </si>
  <si>
    <t>andira-pr</t>
  </si>
  <si>
    <t>salto</t>
  </si>
  <si>
    <t>sp</t>
  </si>
  <si>
    <t>registro</t>
  </si>
  <si>
    <t>cafelandia</t>
  </si>
  <si>
    <t>dois corregos</t>
  </si>
  <si>
    <t>sao pedro</t>
  </si>
  <si>
    <t>votorantim</t>
  </si>
  <si>
    <t>capivari</t>
  </si>
  <si>
    <t>niteroi</t>
  </si>
  <si>
    <t>mogi das cruzes</t>
  </si>
  <si>
    <t>poa</t>
  </si>
  <si>
    <t>itauna</t>
  </si>
  <si>
    <t>cotia</t>
  </si>
  <si>
    <t>apucarana</t>
  </si>
  <si>
    <t>formiga</t>
  </si>
  <si>
    <t>jaragua do sul</t>
  </si>
  <si>
    <t>sinop</t>
  </si>
  <si>
    <t>MT</t>
  </si>
  <si>
    <t>scao jose do rio pardo</t>
  </si>
  <si>
    <t>parai</t>
  </si>
  <si>
    <t>aruja</t>
  </si>
  <si>
    <t>santa barbara d'oeste</t>
  </si>
  <si>
    <t>araras</t>
  </si>
  <si>
    <t>taboao da serra</t>
  </si>
  <si>
    <t>lages</t>
  </si>
  <si>
    <t>congonhas</t>
  </si>
  <si>
    <t>araraquara</t>
  </si>
  <si>
    <t>rio de janeiro</t>
  </si>
  <si>
    <t>dracena</t>
  </si>
  <si>
    <t>goiania</t>
  </si>
  <si>
    <t>GO</t>
  </si>
  <si>
    <t>sorocaba</t>
  </si>
  <si>
    <t>ampere</t>
  </si>
  <si>
    <t>sao joao de meriti</t>
  </si>
  <si>
    <t>gama</t>
  </si>
  <si>
    <t>DF</t>
  </si>
  <si>
    <t>colombo</t>
  </si>
  <si>
    <t>campo limpo paulista</t>
  </si>
  <si>
    <t>ponte nova</t>
  </si>
  <si>
    <t>jales</t>
  </si>
  <si>
    <t>itapecerica da serra</t>
  </si>
  <si>
    <t>tatui</t>
  </si>
  <si>
    <t>domingos martins</t>
  </si>
  <si>
    <t>brasilia</t>
  </si>
  <si>
    <t>caxias do sul</t>
  </si>
  <si>
    <t>carapicuiba</t>
  </si>
  <si>
    <t>votuporanga</t>
  </si>
  <si>
    <t>piracicaba</t>
  </si>
  <si>
    <t>volta redonda</t>
  </si>
  <si>
    <t>guariba</t>
  </si>
  <si>
    <t>juiz de fora</t>
  </si>
  <si>
    <t>blumenau</t>
  </si>
  <si>
    <t>pedreira</t>
  </si>
  <si>
    <t>arraial d'ajuda (porto seguro)</t>
  </si>
  <si>
    <t>BA</t>
  </si>
  <si>
    <t>vendas@creditparts.com.br</t>
  </si>
  <si>
    <t>jau</t>
  </si>
  <si>
    <t>cornelio procopio</t>
  </si>
  <si>
    <t>suzano</t>
  </si>
  <si>
    <t>jaboticabal</t>
  </si>
  <si>
    <t>jacarei</t>
  </si>
  <si>
    <t>cascavel</t>
  </si>
  <si>
    <t>garca</t>
  </si>
  <si>
    <t>novo hamburgo</t>
  </si>
  <si>
    <t>echapora</t>
  </si>
  <si>
    <t>lauro de freitas</t>
  </si>
  <si>
    <t>sao joao del rei</t>
  </si>
  <si>
    <t>navegantes</t>
  </si>
  <si>
    <t>bertioga</t>
  </si>
  <si>
    <t>conselheiro lafaiete</t>
  </si>
  <si>
    <t>monteiro lobato</t>
  </si>
  <si>
    <t>petropolis</t>
  </si>
  <si>
    <t>umuarama</t>
  </si>
  <si>
    <t>nilopolis</t>
  </si>
  <si>
    <t>pinhais</t>
  </si>
  <si>
    <t>patos de minas</t>
  </si>
  <si>
    <t>santa barbara d oeste</t>
  </si>
  <si>
    <t>farroupilha</t>
  </si>
  <si>
    <t>morrinhos</t>
  </si>
  <si>
    <t>rio do sul</t>
  </si>
  <si>
    <t>ipatinga</t>
  </si>
  <si>
    <t>araucaria</t>
  </si>
  <si>
    <t>anapolis</t>
  </si>
  <si>
    <t>bebedouro</t>
  </si>
  <si>
    <t>sao caetano do sul</t>
  </si>
  <si>
    <t>sao joaquim da barra</t>
  </si>
  <si>
    <t>fernandopolis</t>
  </si>
  <si>
    <t>canoinhas</t>
  </si>
  <si>
    <t>s jose do rio preto</t>
  </si>
  <si>
    <t>birigui</t>
  </si>
  <si>
    <t>itatiba</t>
  </si>
  <si>
    <t>rolandia</t>
  </si>
  <si>
    <t>videira</t>
  </si>
  <si>
    <t>amparo</t>
  </si>
  <si>
    <t>serra negra</t>
  </si>
  <si>
    <t>araguari</t>
  </si>
  <si>
    <t>mineiros do tiete</t>
  </si>
  <si>
    <t>rio claro</t>
  </si>
  <si>
    <t>salvador</t>
  </si>
  <si>
    <t>diadema</t>
  </si>
  <si>
    <t>laranjal paulista</t>
  </si>
  <si>
    <t>bauru</t>
  </si>
  <si>
    <t>braganca paulista</t>
  </si>
  <si>
    <t>barueri</t>
  </si>
  <si>
    <t>criciuma</t>
  </si>
  <si>
    <t>mogi mirim</t>
  </si>
  <si>
    <t>jundiai</t>
  </si>
  <si>
    <t>sao jose dos pinhais</t>
  </si>
  <si>
    <t>tres rios</t>
  </si>
  <si>
    <t>florianopolis</t>
  </si>
  <si>
    <t>mage</t>
  </si>
  <si>
    <t>pocos de caldas</t>
  </si>
  <si>
    <t>braco do norte</t>
  </si>
  <si>
    <t>sao goncalo</t>
  </si>
  <si>
    <t>mesquita</t>
  </si>
  <si>
    <t>indaiatuba</t>
  </si>
  <si>
    <t>andradas</t>
  </si>
  <si>
    <t>caucaia</t>
  </si>
  <si>
    <t>CE</t>
  </si>
  <si>
    <t>pirituba</t>
  </si>
  <si>
    <t>tiradentes</t>
  </si>
  <si>
    <t>mairipora</t>
  </si>
  <si>
    <t>viamao</t>
  </si>
  <si>
    <t>varginha</t>
  </si>
  <si>
    <t>ibia</t>
  </si>
  <si>
    <t>tabatinga</t>
  </si>
  <si>
    <t>cuiaba</t>
  </si>
  <si>
    <t>jaguariuna</t>
  </si>
  <si>
    <t>fazenda rio grande</t>
  </si>
  <si>
    <t>vicente de carvalho</t>
  </si>
  <si>
    <t>aparecida de goiania</t>
  </si>
  <si>
    <t>santa rita do sapucai</t>
  </si>
  <si>
    <t>mirandopolis</t>
  </si>
  <si>
    <t>ilicinea</t>
  </si>
  <si>
    <t>socorro</t>
  </si>
  <si>
    <t>campo mourao</t>
  </si>
  <si>
    <t>timbo</t>
  </si>
  <si>
    <t>sao jose</t>
  </si>
  <si>
    <t>canoas</t>
  </si>
  <si>
    <t>fronteira</t>
  </si>
  <si>
    <t>mateus leme</t>
  </si>
  <si>
    <t>lagoa da prata</t>
  </si>
  <si>
    <t>carazinho</t>
  </si>
  <si>
    <t>pradopolis</t>
  </si>
  <si>
    <t>itapevi</t>
  </si>
  <si>
    <t>garulhos</t>
  </si>
  <si>
    <t>macae</t>
  </si>
  <si>
    <t>cajamar</t>
  </si>
  <si>
    <t>guara</t>
  </si>
  <si>
    <t>hortolandia</t>
  </si>
  <si>
    <t>guanambi</t>
  </si>
  <si>
    <t>concordia</t>
  </si>
  <si>
    <t>uberaba</t>
  </si>
  <si>
    <t>campo largo</t>
  </si>
  <si>
    <t>taubate</t>
  </si>
  <si>
    <t>baependi</t>
  </si>
  <si>
    <t>guaruja</t>
  </si>
  <si>
    <t>ilheus</t>
  </si>
  <si>
    <t>massaranduba</t>
  </si>
  <si>
    <t>mococa</t>
  </si>
  <si>
    <t>pompeia</t>
  </si>
  <si>
    <t>ribeirao das neves</t>
  </si>
  <si>
    <t>floresta</t>
  </si>
  <si>
    <t>praia grande</t>
  </si>
  <si>
    <t>mombuca</t>
  </si>
  <si>
    <t>sao sebastiao</t>
  </si>
  <si>
    <t>cachoeirinha</t>
  </si>
  <si>
    <t>barretos</t>
  </si>
  <si>
    <t>recife</t>
  </si>
  <si>
    <t>PE</t>
  </si>
  <si>
    <t>cruzeiro</t>
  </si>
  <si>
    <t>loanda</t>
  </si>
  <si>
    <t>ipaussu</t>
  </si>
  <si>
    <t>brejao</t>
  </si>
  <si>
    <t>teresopolis</t>
  </si>
  <si>
    <t>jussara</t>
  </si>
  <si>
    <t>novo horizonte</t>
  </si>
  <si>
    <t>sao  paulo</t>
  </si>
  <si>
    <t>embu guacu</t>
  </si>
  <si>
    <t>lencois paulista</t>
  </si>
  <si>
    <t>aracatuba</t>
  </si>
  <si>
    <t>arvorezinha</t>
  </si>
  <si>
    <t>pilar do sul</t>
  </si>
  <si>
    <t>vicosa</t>
  </si>
  <si>
    <t>santo antonio de posse</t>
  </si>
  <si>
    <t>icara</t>
  </si>
  <si>
    <t>sumare</t>
  </si>
  <si>
    <t>Sum of total_reviews</t>
  </si>
  <si>
    <t>count_positive</t>
  </si>
  <si>
    <t>count_neutral</t>
  </si>
  <si>
    <t>count_negative</t>
  </si>
  <si>
    <t>Average of avg_score</t>
  </si>
  <si>
    <t>Sum of pct_positive</t>
  </si>
  <si>
    <t>Sum of pct_neutral</t>
  </si>
  <si>
    <t>Sum of pct_negative</t>
  </si>
  <si>
    <t>total_revenue</t>
  </si>
  <si>
    <t>AC</t>
  </si>
  <si>
    <t>AM</t>
  </si>
  <si>
    <t>PA</t>
  </si>
  <si>
    <t>PB</t>
  </si>
  <si>
    <t>PI</t>
  </si>
  <si>
    <t>RO</t>
  </si>
  <si>
    <t>SE</t>
  </si>
  <si>
    <t>price_per_sale</t>
  </si>
  <si>
    <t>review_count</t>
  </si>
  <si>
    <t>avg_review</t>
  </si>
  <si>
    <t>avg_delivery_days</t>
  </si>
  <si>
    <t>customer_state</t>
  </si>
  <si>
    <t>category</t>
  </si>
  <si>
    <t>state</t>
  </si>
  <si>
    <t>revenue_by_state_and_category</t>
  </si>
  <si>
    <t>total_state_revenue</t>
  </si>
  <si>
    <t>pct_of_state_revenue</t>
  </si>
  <si>
    <t>sales_in_state</t>
  </si>
  <si>
    <t>total_state_sales</t>
  </si>
  <si>
    <t>pct_of_state_sales</t>
  </si>
  <si>
    <t>agro_industria_e_comercio</t>
  </si>
  <si>
    <t>alimentos</t>
  </si>
  <si>
    <t>alimentos_bebidas</t>
  </si>
  <si>
    <t>artes</t>
  </si>
  <si>
    <t>artes_e_artesanato</t>
  </si>
  <si>
    <t>artigos_de_festas</t>
  </si>
  <si>
    <t>artigos_de_natal</t>
  </si>
  <si>
    <t>audio</t>
  </si>
  <si>
    <t>automotivo</t>
  </si>
  <si>
    <t>bebes</t>
  </si>
  <si>
    <t>bebidas</t>
  </si>
  <si>
    <t>beleza_saude</t>
  </si>
  <si>
    <t>brinquedos</t>
  </si>
  <si>
    <t>cama_mesa_banho</t>
  </si>
  <si>
    <t>casa_conforto</t>
  </si>
  <si>
    <t>casa_conforto_2</t>
  </si>
  <si>
    <t>casa_construcao</t>
  </si>
  <si>
    <t>cds_dvds_musicais</t>
  </si>
  <si>
    <t>cine_foto</t>
  </si>
  <si>
    <t>climatizacao</t>
  </si>
  <si>
    <t>consoles_games</t>
  </si>
  <si>
    <t>construcao_ferramentas_construcao</t>
  </si>
  <si>
    <t>construcao_ferramentas_ferramentas</t>
  </si>
  <si>
    <t>construcao_ferramentas_iluminacao</t>
  </si>
  <si>
    <t>construcao_ferramentas_jardim</t>
  </si>
  <si>
    <t>construcao_ferramentas_seguranca</t>
  </si>
  <si>
    <t>cool_stuff</t>
  </si>
  <si>
    <t>dvds_blu_ray</t>
  </si>
  <si>
    <t>eletrodomesticos</t>
  </si>
  <si>
    <t>eletrodomesticos_2</t>
  </si>
  <si>
    <t>eletronicos</t>
  </si>
  <si>
    <t>eletroportateis</t>
  </si>
  <si>
    <t>esporte_lazer</t>
  </si>
  <si>
    <t>fashion_bolsas_e_acessorios</t>
  </si>
  <si>
    <t>fashion_calcados</t>
  </si>
  <si>
    <t>fashion_esporte</t>
  </si>
  <si>
    <t>fashion_roupa_feminina</t>
  </si>
  <si>
    <t>fashion_roupa_infanto_juvenil</t>
  </si>
  <si>
    <t>fashion_roupa_masculina</t>
  </si>
  <si>
    <t>fashion_underwear_e_moda_praia</t>
  </si>
  <si>
    <t>ferramentas_jardim</t>
  </si>
  <si>
    <t>flores</t>
  </si>
  <si>
    <t>fraldas_higiene</t>
  </si>
  <si>
    <t>industria_comercio_e_negocios</t>
  </si>
  <si>
    <t>informatica_acessorios</t>
  </si>
  <si>
    <t>instrumentos_musicais</t>
  </si>
  <si>
    <t>la_cuisine</t>
  </si>
  <si>
    <t>livros_importados</t>
  </si>
  <si>
    <t>livros_interesse_geral</t>
  </si>
  <si>
    <t>livros_tecnicos</t>
  </si>
  <si>
    <t>malas_acessorios</t>
  </si>
  <si>
    <t>market_place</t>
  </si>
  <si>
    <t>moveis_colchao_e_estofado</t>
  </si>
  <si>
    <t>moveis_cozinha_area_de_servico_jantar_e_jardim</t>
  </si>
  <si>
    <t>moveis_decoracao</t>
  </si>
  <si>
    <t>moveis_escritorio</t>
  </si>
  <si>
    <t>moveis_quarto</t>
  </si>
  <si>
    <t>moveis_sala</t>
  </si>
  <si>
    <t>musica</t>
  </si>
  <si>
    <t>papelaria</t>
  </si>
  <si>
    <t>pc_gamer</t>
  </si>
  <si>
    <t>pcs</t>
  </si>
  <si>
    <t>perfumaria</t>
  </si>
  <si>
    <t>pet_shop</t>
  </si>
  <si>
    <t>portateis_casa_forno_e_cafe</t>
  </si>
  <si>
    <t>portateis_cozinha_e_preparadores_de_alimentos</t>
  </si>
  <si>
    <t>relogios_presentes</t>
  </si>
  <si>
    <t>seguros_e_servicos</t>
  </si>
  <si>
    <t>sinalizacao_e_seguranca</t>
  </si>
  <si>
    <t>tablets_impressao_imagem</t>
  </si>
  <si>
    <t>telefonia</t>
  </si>
  <si>
    <t>telefonia_fixa</t>
  </si>
  <si>
    <t>utilidades_domesticas</t>
  </si>
  <si>
    <t>(blank)</t>
  </si>
  <si>
    <t>Sum of sales_in_state</t>
  </si>
  <si>
    <t>Sum of revenue_by_state_and_category</t>
  </si>
  <si>
    <t>Max of pct_of_state_sales</t>
  </si>
  <si>
    <t>revenue %</t>
  </si>
  <si>
    <t>sales %</t>
  </si>
  <si>
    <t>num_orders</t>
  </si>
  <si>
    <t>order_year_month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</si>
  <si>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</si>
  <si>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</si>
  <si>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</si>
  <si>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</si>
  <si>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</si>
  <si>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</si>
  <si>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</si>
  <si>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</si>
  <si>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</si>
  <si>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</si>
  <si>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</si>
  <si>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</si>
  <si>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</si>
  <si>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</si>
  <si>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</si>
  <si>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</si>
  <si>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</si>
  <si>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</si>
  <si>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</si>
  <si>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</si>
  <si>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</si>
  <si>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</si>
  <si>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</si>
  <si>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</si>
  <si>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</si>
  <si>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Initial EDA</t>
  </si>
  <si>
    <t>Tab</t>
  </si>
  <si>
    <t>Metric / dimension</t>
  </si>
  <si>
    <t>Deep dive insights</t>
  </si>
  <si>
    <t>Tableau Tab</t>
  </si>
  <si>
    <t>Insight</t>
  </si>
  <si>
    <t>Recommendations</t>
  </si>
  <si>
    <t>Finding</t>
  </si>
  <si>
    <t>Relevant Team</t>
  </si>
  <si>
    <t>SCAN Framework</t>
  </si>
  <si>
    <t>Research Question / goal</t>
  </si>
  <si>
    <t>Stakeholder goal</t>
  </si>
  <si>
    <t>Columns and coverage</t>
  </si>
  <si>
    <t>Notable segments</t>
  </si>
  <si>
    <t>Aggregates and anomalies</t>
  </si>
  <si>
    <t>Orders over time (Excel)</t>
  </si>
  <si>
    <t xml:space="preserve">total sales increased steadilly until it peaked in november 2017 and then slowly declined after that until Aug  2018 where the data seems to stop. </t>
  </si>
  <si>
    <t xml:space="preserve">Investigate November spike, why was it so large? Why did sales decline after? </t>
  </si>
  <si>
    <t xml:space="preserve">State "SP" dominates in the number of orders, 6 states stand out among the total 27 states, all majore states follow the same rising trend until Nov 2017 but SP continues to rise slightly while others seem to fall. </t>
  </si>
  <si>
    <t>Question the reason SP dominates and why it appears to not decrease after spike.</t>
  </si>
  <si>
    <t>Revenue by Month</t>
  </si>
  <si>
    <t>Orders by Month</t>
  </si>
  <si>
    <t xml:space="preserve">Same trends as in Orders by Month with "SP" accounting for the most revenue, and trends increasing and decreasing similar as orders but SP has a large spike May-2018 </t>
  </si>
  <si>
    <t>Investigate small differences in trends and spikes compared to the orders trends.</t>
  </si>
  <si>
    <t>Revenue over time</t>
  </si>
  <si>
    <t>Similar as orders except did not appear to decline as much after Nov-2017 hinting that higher valued goods may have been sold during early to mid 2018</t>
  </si>
  <si>
    <t>Investigate the differences in product prices over end of 2017 to 2018 to try and help understand the decline of sales post 2017 christmas.</t>
  </si>
  <si>
    <t>SQL Queries</t>
  </si>
  <si>
    <t>Investigate average price of products per state, investigate if there is any correlation between average price and order amount.</t>
  </si>
  <si>
    <t xml:space="preserve">It seemed that there was a genearl trend of states with smaller volume contributing higher revenue percentage compared to their volume percentage, suggesting that they were selling more expencive products. </t>
  </si>
  <si>
    <t xml:space="preserve">After investigating it turns out there was a -0.53 correlation between avg price and order volume in each state. </t>
  </si>
  <si>
    <t>Background info/context</t>
  </si>
  <si>
    <t>State</t>
  </si>
  <si>
    <t>common name and country</t>
  </si>
  <si>
    <t>population</t>
  </si>
  <si>
    <t>Share by Major Regions and Federation units - GDP</t>
  </si>
  <si>
    <t>Brazil, Major Regions and Federation Units</t>
  </si>
  <si>
    <t>Share of Gross Domestic Product (%)</t>
  </si>
  <si>
    <t>Brazil</t>
  </si>
  <si>
    <t>North</t>
  </si>
  <si>
    <t>Rondônia</t>
  </si>
  <si>
    <t>Acre</t>
  </si>
  <si>
    <t>Amazonas</t>
  </si>
  <si>
    <t>Roraima</t>
  </si>
  <si>
    <t>Pará</t>
  </si>
  <si>
    <t>Amapá</t>
  </si>
  <si>
    <t>Tocantins</t>
  </si>
  <si>
    <t>Northeast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</si>
  <si>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</si>
  <si>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</si>
  <si>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</si>
  <si>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</si>
  <si>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</si>
  <si>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</si>
  <si>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</si>
  <si>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</si>
  <si>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</si>
  <si>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Southeast</t>
  </si>
  <si>
    <t>Minas Gerais</t>
  </si>
  <si>
    <t>Espírito Santo</t>
  </si>
  <si>
    <t>Rio de Janeiro</t>
  </si>
  <si>
    <t>São Paulo</t>
  </si>
  <si>
    <t>South</t>
  </si>
  <si>
    <t>Paraná</t>
  </si>
  <si>
    <t>Santa Catarina</t>
  </si>
  <si>
    <t>Rio Grande do Sul</t>
  </si>
  <si>
    <t>Central West</t>
  </si>
  <si>
    <t>Mato Grosso do Sul</t>
  </si>
  <si>
    <t>Mato Grosso </t>
  </si>
  <si>
    <t>Goiás</t>
  </si>
  <si>
    <t>Federal District</t>
  </si>
  <si>
    <t>Rank</t>
  </si>
  <si>
    <t>Federative Unit</t>
  </si>
  <si>
    <t>Distrito Federal</t>
  </si>
  <si>
    <t>Mato Grosso</t>
  </si>
  <si>
    <t>https://agenciadenoticias.ibge.gov.br/en/agencia-news/2184-news-agency/news/45154-gdp-grows-in-all-the-27-states-in-brazil-in-2023</t>
  </si>
  <si>
    <t xml:space="preserve">https://grokipedia.com/page/List_of_Brazilian_states_by_GDP </t>
  </si>
  <si>
    <t>source</t>
  </si>
  <si>
    <t>Share of total</t>
  </si>
  <si>
    <t>GDP (billion BRL 2023)</t>
  </si>
  <si>
    <t>https://ftp.ibge.gov.br/Contas_Regionais/2019/xls/</t>
  </si>
  <si>
    <t>Source: (Currency relative to 2019 value)</t>
  </si>
  <si>
    <t>Federative Unit/State</t>
  </si>
  <si>
    <t>Região Sudeste</t>
  </si>
  <si>
    <t>Região Sul</t>
  </si>
  <si>
    <t>Região Centro-Oeste</t>
  </si>
  <si>
    <t>GDP(I) 2016 (1,000,000 R$)</t>
  </si>
  <si>
    <t>GDP(I) 2017 (1,000,000 R$)</t>
  </si>
  <si>
    <t>GDP(I) 2018 (1,000,000 R$)</t>
  </si>
  <si>
    <t> Bahia</t>
  </si>
  <si>
    <t> Goiás</t>
  </si>
  <si>
    <t> São Paulo</t>
  </si>
  <si>
    <t> Rio de Janeiro</t>
  </si>
  <si>
    <t> Minas Gerais</t>
  </si>
  <si>
    <t> Paraná</t>
  </si>
  <si>
    <t> Rio Grande do Sul</t>
  </si>
  <si>
    <t> Santa Catarina</t>
  </si>
  <si>
    <t> Distrito Federal</t>
  </si>
  <si>
    <t> Pará</t>
  </si>
  <si>
    <t> Mato Grosso</t>
  </si>
  <si>
    <t> Pernambuco</t>
  </si>
  <si>
    <t> Espírito Santo</t>
  </si>
  <si>
    <t> Ceará</t>
  </si>
  <si>
    <t> Mato Grosso do Sul</t>
  </si>
  <si>
    <t> Amazonas</t>
  </si>
  <si>
    <t> Maranhão</t>
  </si>
  <si>
    <t> Alagoas</t>
  </si>
  <si>
    <t> Paraíba</t>
  </si>
  <si>
    <t> Rio Grande do Norte</t>
  </si>
  <si>
    <t> Piauí</t>
  </si>
  <si>
    <t> Rondônia</t>
  </si>
  <si>
    <t> Tocantins</t>
  </si>
  <si>
    <t> Sergipe</t>
  </si>
  <si>
    <t> Amapá</t>
  </si>
  <si>
    <t> Acre</t>
  </si>
  <si>
    <t> Roraima</t>
  </si>
  <si>
    <t>State abreviatio</t>
  </si>
  <si>
    <t>AL</t>
  </si>
  <si>
    <t>AP</t>
  </si>
  <si>
    <t>RR</t>
  </si>
  <si>
    <t>TO</t>
  </si>
  <si>
    <t>Região Nordeste</t>
  </si>
  <si>
    <r>
      <t>3.281.480</t>
    </r>
    <r>
      <rPr>
        <vertAlign val="superscript"/>
        <sz val="11"/>
        <rFont val="Arial"/>
        <family val="2"/>
      </rPr>
      <t>(1)</t>
    </r>
  </si>
  <si>
    <r>
      <t>9.187.103</t>
    </r>
    <r>
      <rPr>
        <vertAlign val="superscript"/>
        <sz val="11"/>
        <rFont val="Arial"/>
        <family val="2"/>
      </rPr>
      <t>(1)</t>
    </r>
  </si>
  <si>
    <r>
      <t>9.616.621</t>
    </r>
    <r>
      <rPr>
        <vertAlign val="superscript"/>
        <sz val="11"/>
        <rFont val="Arial"/>
        <family val="2"/>
      </rPr>
      <t>(2)</t>
    </r>
  </si>
  <si>
    <r>
      <t>3.351.543</t>
    </r>
    <r>
      <rPr>
        <vertAlign val="superscript"/>
        <sz val="11"/>
        <rFont val="Arial"/>
        <family val="2"/>
      </rPr>
      <t>(2)</t>
    </r>
  </si>
  <si>
    <r>
      <t>2.318.822</t>
    </r>
    <r>
      <rPr>
        <vertAlign val="superscript"/>
        <sz val="11"/>
        <rFont val="Arial"/>
        <family val="2"/>
      </rPr>
      <t>(3)</t>
    </r>
  </si>
  <si>
    <r>
      <t>14.930.634</t>
    </r>
    <r>
      <rPr>
        <vertAlign val="superscript"/>
        <sz val="11"/>
        <rFont val="Arial"/>
        <family val="2"/>
      </rPr>
      <t>(3)</t>
    </r>
  </si>
  <si>
    <r>
      <t>7.113.540</t>
    </r>
    <r>
      <rPr>
        <vertAlign val="superscript"/>
        <sz val="11"/>
        <rFont val="Arial"/>
        <family val="2"/>
      </rPr>
      <t>(4)</t>
    </r>
  </si>
  <si>
    <r>
      <t>3.055.149</t>
    </r>
    <r>
      <rPr>
        <vertAlign val="superscript"/>
        <sz val="11"/>
        <rFont val="Arial"/>
        <family val="2"/>
      </rPr>
      <t>(4)</t>
    </r>
  </si>
  <si>
    <t>Population est (2020)</t>
  </si>
  <si>
    <t>ESTIMATIVAS DA POPULAÇÃO RESIDENTE NO BRASIL E UNIDADES DA FEDERAÇÃO COM DATA DE REFERÊNCIA EM 1º DE JULHO DE 2020</t>
  </si>
  <si>
    <t>BRASIL E UNIDADES DA FEDERAÇÃO</t>
  </si>
  <si>
    <t>POPULAÇÃO ESTIMADA</t>
  </si>
  <si>
    <t>Brasil</t>
  </si>
  <si>
    <t>Região Norte</t>
  </si>
  <si>
    <t xml:space="preserve">Source: Population estimates 2020
</t>
  </si>
  <si>
    <t>https://www.ibge.gov.br/en/statistics/social/population/18448-estimates-of-resident-population-for-municipalities-and-federation-units.html?edicao=28688</t>
  </si>
  <si>
    <t>3.281.480</t>
  </si>
  <si>
    <t>9.187.103</t>
  </si>
  <si>
    <t>9.616.621</t>
  </si>
  <si>
    <t>3.351.543</t>
  </si>
  <si>
    <t>2.318.822</t>
  </si>
  <si>
    <t>14.930.634</t>
  </si>
  <si>
    <t>7.113.540</t>
  </si>
  <si>
    <t>3.055.149</t>
  </si>
  <si>
    <t>Top 6 states by revenue: "state"</t>
  </si>
  <si>
    <t>https://www.kaggle.com/datasets/olistbr/brazilian-ecommerce?resource=download</t>
  </si>
  <si>
    <t>Data source:</t>
  </si>
  <si>
    <t>revenue R$</t>
  </si>
  <si>
    <t>pct_total_revenue</t>
  </si>
  <si>
    <t>Revenue vs GDP+pop</t>
  </si>
  <si>
    <t xml:space="preserve">We can see that overall there is a very strong correlation between GDP and total revenue in each state and population and total revenue in each state. One interesting state is MG which has a relatively high price/GDP ratio but a very low populatio/revenue.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</si>
</sst>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-* #,##0.00_-;\-* #,##0.00_-;_-* &quot;-&quot;??_-;_-@_-"/>
    <numFmt numFmtId="166" formatCode="_-* #,##0_-;\-* #,##0_-;_-* &quot;-&quot;??_-;_-@_-"/>
    <numFmt numFmtId="167" formatCode="[$R$-416]&quot; &quot;#,##0.00;[Red]&quot;-&quot;[$R$-416]&quot; &quot;#,##0.00"/>
    <numFmt numFmtId="168" formatCode="#,##0.00&quot; &quot;;#,##0.00&quot; &quot;;&quot;-&quot;#&quot; &quot;;&quot; &quot;@&quot; &quot;"/>
  </numFmts>
  <fonts count="9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rgb="FF5F5F5F"/>
      <name val="Arial"/>
      <family val="2"/>
    </font>
    <font>
      <sz val="8"/>
      <color rgb="FF4B4B4C"/>
      <name val="Arial"/>
      <family val="2"/>
    </font>
    <font>
      <b/>
      <sz val="8"/>
      <color rgb="FF4B4B4C"/>
      <name val="Arial"/>
      <family val="2"/>
    </font>
    <font>
      <b/>
      <sz val="11"/>
      <color rgb="FF050505"/>
      <name val="Segoe UI"/>
      <family val="2"/>
    </font>
    <font>
      <sz val="11"/>
      <color rgb="FF050505"/>
      <name val="Segoe UI"/>
      <family val="2"/>
    </font>
    <font>
      <sz val="14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0"/>
      <name val="Bookman Old Style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i/>
      <sz val="16"/>
      <color indexed="8"/>
      <name val="Arial"/>
      <family val="2"/>
    </font>
    <font>
      <b/>
      <i/>
      <u/>
      <sz val="11"/>
      <color indexed="8"/>
      <name val="Arial"/>
      <family val="2"/>
    </font>
    <font>
      <sz val="10"/>
      <name val="Bookman Old Style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CC0000"/>
      <name val="Liberation Sans"/>
      <family val="2"/>
    </font>
    <font>
      <sz val="10"/>
      <color rgb="FFFF0000"/>
      <name val="Liberation Sans"/>
      <family val="2"/>
    </font>
    <font>
      <sz val="11"/>
      <color rgb="FF800080"/>
      <name val="Calibri"/>
      <family val="2"/>
    </font>
    <font>
      <sz val="10"/>
      <color rgb="FFCC0000"/>
      <name val="Calibri"/>
      <family val="2"/>
    </font>
    <font>
      <sz val="11"/>
      <color rgb="FF008000"/>
      <name val="Calibri"/>
      <family val="2"/>
    </font>
    <font>
      <b/>
      <sz val="11"/>
      <color rgb="FFFF9900"/>
      <name val="Calibri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FF9900"/>
      <name val="Calibri"/>
      <family val="2"/>
    </font>
    <font>
      <sz val="11"/>
      <color rgb="FF333399"/>
      <name val="Calibri"/>
      <family val="2"/>
    </font>
    <font>
      <b/>
      <sz val="10"/>
      <color rgb="FFFFFFFF"/>
      <name val="Liberation Sans"/>
      <family val="2"/>
    </font>
    <font>
      <b/>
      <sz val="10"/>
      <color rgb="FFFFFFFF"/>
      <name val="Calibri"/>
      <family val="2"/>
    </font>
    <font>
      <sz val="11"/>
      <color theme="1"/>
      <name val="Liberation Sans"/>
      <family val="2"/>
    </font>
    <font>
      <i/>
      <sz val="11"/>
      <color rgb="FF808080"/>
      <name val="Calibri"/>
      <family val="2"/>
    </font>
    <font>
      <i/>
      <sz val="10"/>
      <color rgb="FF808080"/>
      <name val="Liberation Sans"/>
      <family val="2"/>
    </font>
    <font>
      <i/>
      <sz val="10"/>
      <color rgb="FF808080"/>
      <name val="Calibri"/>
      <family val="2"/>
    </font>
    <font>
      <sz val="10"/>
      <color rgb="FF006600"/>
      <name val="Liberation Sans"/>
      <family val="2"/>
    </font>
    <font>
      <sz val="10"/>
      <color rgb="FF008000"/>
      <name val="Liberation Sans"/>
      <family val="2"/>
    </font>
    <font>
      <sz val="10"/>
      <color rgb="FF006600"/>
      <name val="Calibri"/>
      <family val="2"/>
    </font>
    <font>
      <b/>
      <sz val="24"/>
      <color rgb="FF000000"/>
      <name val="Liberation Sans"/>
      <family val="2"/>
    </font>
    <font>
      <b/>
      <sz val="24"/>
      <color rgb="FF000000"/>
      <name val="Calibri"/>
      <family val="2"/>
    </font>
    <font>
      <sz val="18"/>
      <color rgb="FF000000"/>
      <name val="Liberation Sans"/>
      <family val="2"/>
    </font>
    <font>
      <b/>
      <sz val="15"/>
      <color rgb="FF003366"/>
      <name val="Calibri"/>
      <family val="2"/>
    </font>
    <font>
      <sz val="18"/>
      <color rgb="FF000000"/>
      <name val="Calibri"/>
      <family val="2"/>
    </font>
    <font>
      <sz val="12"/>
      <color rgb="FF000000"/>
      <name val="Liberation Sans"/>
      <family val="2"/>
    </font>
    <font>
      <b/>
      <sz val="13"/>
      <color rgb="FF003366"/>
      <name val="Calibri"/>
      <family val="2"/>
    </font>
    <font>
      <sz val="12"/>
      <color rgb="FF000000"/>
      <name val="Calibri"/>
      <family val="2"/>
    </font>
    <font>
      <b/>
      <sz val="11"/>
      <color rgb="FF003366"/>
      <name val="Calibri"/>
      <family val="2"/>
    </font>
    <font>
      <b/>
      <i/>
      <sz val="16"/>
      <color rgb="FF000000"/>
      <name val="Arial"/>
      <family val="2"/>
    </font>
    <font>
      <sz val="11"/>
      <color rgb="FF993300"/>
      <name val="Calibri"/>
      <family val="2"/>
    </font>
    <font>
      <sz val="10"/>
      <color rgb="FF996600"/>
      <name val="Liberation Sans"/>
      <family val="2"/>
    </font>
    <font>
      <sz val="10"/>
      <color rgb="FF993300"/>
      <name val="Liberation Sans"/>
      <family val="2"/>
    </font>
    <font>
      <sz val="10"/>
      <color rgb="FF996600"/>
      <name val="Calibri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0"/>
      <color rgb="FF000000"/>
      <name val="Bookman Old Style1"/>
      <family val="1"/>
    </font>
    <font>
      <sz val="11"/>
      <color rgb="FF000000"/>
      <name val="Liberation Sans"/>
      <family val="2"/>
    </font>
    <font>
      <sz val="10"/>
      <color rgb="FF000000"/>
      <name val="Bookman Old Style"/>
      <family val="1"/>
    </font>
    <font>
      <sz val="10"/>
      <color rgb="FF333333"/>
      <name val="Liberation Sans"/>
      <family val="2"/>
    </font>
    <font>
      <sz val="10"/>
      <color rgb="FF333333"/>
      <name val="Calibri"/>
      <family val="2"/>
    </font>
    <font>
      <b/>
      <sz val="11"/>
      <color rgb="FF333333"/>
      <name val="Calibri"/>
      <family val="2"/>
    </font>
    <font>
      <b/>
      <i/>
      <u/>
      <sz val="11"/>
      <color rgb="FF000000"/>
      <name val="Arial"/>
      <family val="2"/>
    </font>
    <font>
      <sz val="11"/>
      <color rgb="FFFF0000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0C0C0"/>
        <bgColor rgb="FFC0C0C0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FF6600"/>
        <bgColor rgb="FFFF6600"/>
      </patternFill>
    </fill>
    <fill>
      <patternFill patternType="solid">
        <fgColor rgb="FFFFCCCC"/>
        <bgColor rgb="FFFFCCCC"/>
      </patternFill>
    </fill>
    <fill>
      <patternFill patternType="solid">
        <fgColor rgb="FF969696"/>
        <bgColor rgb="FF969696"/>
      </patternFill>
    </fill>
    <fill>
      <patternFill patternType="solid">
        <fgColor rgb="FFCC0000"/>
        <bgColor rgb="FFCC0000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theme="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D9D9D9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333399"/>
      </bottom>
      <diagonal/>
    </border>
    <border>
      <left/>
      <right/>
      <top/>
      <bottom style="medium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/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indexed="64"/>
      </bottom>
      <diagonal/>
    </border>
    <border>
      <left/>
      <right/>
      <top style="thin">
        <color rgb="FF333399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40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38" fillId="32" borderId="0"/>
    <xf numFmtId="0" fontId="12" fillId="8" borderId="0" applyNumberFormat="0" applyBorder="0" applyAlignment="0" applyProtection="0"/>
    <xf numFmtId="0" fontId="38" fillId="32" borderId="0"/>
    <xf numFmtId="0" fontId="38" fillId="33" borderId="0"/>
    <xf numFmtId="0" fontId="12" fillId="9" borderId="0" applyNumberFormat="0" applyBorder="0" applyAlignment="0" applyProtection="0"/>
    <xf numFmtId="0" fontId="38" fillId="33" borderId="0"/>
    <xf numFmtId="0" fontId="38" fillId="34" borderId="0"/>
    <xf numFmtId="0" fontId="12" fillId="10" borderId="0" applyNumberFormat="0" applyBorder="0" applyAlignment="0" applyProtection="0"/>
    <xf numFmtId="0" fontId="38" fillId="34" borderId="0"/>
    <xf numFmtId="0" fontId="38" fillId="35" borderId="0"/>
    <xf numFmtId="0" fontId="12" fillId="11" borderId="0" applyNumberFormat="0" applyBorder="0" applyAlignment="0" applyProtection="0"/>
    <xf numFmtId="0" fontId="38" fillId="35" borderId="0"/>
    <xf numFmtId="0" fontId="38" fillId="36" borderId="0"/>
    <xf numFmtId="0" fontId="12" fillId="12" borderId="0" applyNumberFormat="0" applyBorder="0" applyAlignment="0" applyProtection="0"/>
    <xf numFmtId="0" fontId="38" fillId="36" borderId="0"/>
    <xf numFmtId="0" fontId="38" fillId="37" borderId="0"/>
    <xf numFmtId="0" fontId="12" fillId="13" borderId="0" applyNumberFormat="0" applyBorder="0" applyAlignment="0" applyProtection="0"/>
    <xf numFmtId="0" fontId="38" fillId="37" borderId="0"/>
    <xf numFmtId="0" fontId="12" fillId="8" borderId="0" applyNumberFormat="0" applyBorder="0" applyAlignment="0" applyProtection="0"/>
    <xf numFmtId="0" fontId="38" fillId="32" borderId="0"/>
    <xf numFmtId="0" fontId="12" fillId="8" borderId="0" applyNumberFormat="0" applyBorder="0" applyAlignment="0" applyProtection="0"/>
    <xf numFmtId="0" fontId="38" fillId="32" borderId="0"/>
    <xf numFmtId="0" fontId="12" fillId="9" borderId="0" applyNumberFormat="0" applyBorder="0" applyAlignment="0" applyProtection="0"/>
    <xf numFmtId="0" fontId="38" fillId="33" borderId="0"/>
    <xf numFmtId="0" fontId="12" fillId="9" borderId="0" applyNumberFormat="0" applyBorder="0" applyAlignment="0" applyProtection="0"/>
    <xf numFmtId="0" fontId="38" fillId="33" borderId="0"/>
    <xf numFmtId="0" fontId="12" fillId="10" borderId="0" applyNumberFormat="0" applyBorder="0" applyAlignment="0" applyProtection="0"/>
    <xf numFmtId="0" fontId="38" fillId="34" borderId="0"/>
    <xf numFmtId="0" fontId="12" fillId="10" borderId="0" applyNumberFormat="0" applyBorder="0" applyAlignment="0" applyProtection="0"/>
    <xf numFmtId="0" fontId="38" fillId="34" borderId="0"/>
    <xf numFmtId="0" fontId="12" fillId="11" borderId="0" applyNumberFormat="0" applyBorder="0" applyAlignment="0" applyProtection="0"/>
    <xf numFmtId="0" fontId="38" fillId="35" borderId="0"/>
    <xf numFmtId="0" fontId="12" fillId="11" borderId="0" applyNumberFormat="0" applyBorder="0" applyAlignment="0" applyProtection="0"/>
    <xf numFmtId="0" fontId="38" fillId="35" borderId="0"/>
    <xf numFmtId="0" fontId="12" fillId="12" borderId="0" applyNumberFormat="0" applyBorder="0" applyAlignment="0" applyProtection="0"/>
    <xf numFmtId="0" fontId="38" fillId="36" borderId="0"/>
    <xf numFmtId="0" fontId="12" fillId="12" borderId="0" applyNumberFormat="0" applyBorder="0" applyAlignment="0" applyProtection="0"/>
    <xf numFmtId="0" fontId="38" fillId="36" borderId="0"/>
    <xf numFmtId="0" fontId="12" fillId="13" borderId="0" applyNumberFormat="0" applyBorder="0" applyAlignment="0" applyProtection="0"/>
    <xf numFmtId="0" fontId="38" fillId="37" borderId="0"/>
    <xf numFmtId="0" fontId="12" fillId="13" borderId="0" applyNumberFormat="0" applyBorder="0" applyAlignment="0" applyProtection="0"/>
    <xf numFmtId="0" fontId="38" fillId="37" borderId="0"/>
    <xf numFmtId="0" fontId="38" fillId="38" borderId="0"/>
    <xf numFmtId="0" fontId="12" fillId="15" borderId="0" applyNumberFormat="0" applyBorder="0" applyAlignment="0" applyProtection="0"/>
    <xf numFmtId="0" fontId="38" fillId="38" borderId="0"/>
    <xf numFmtId="0" fontId="38" fillId="39" borderId="0"/>
    <xf numFmtId="0" fontId="12" fillId="16" borderId="0" applyNumberFormat="0" applyBorder="0" applyAlignment="0" applyProtection="0"/>
    <xf numFmtId="0" fontId="38" fillId="39" borderId="0"/>
    <xf numFmtId="0" fontId="38" fillId="40" borderId="0"/>
    <xf numFmtId="0" fontId="12" fillId="17" borderId="0" applyNumberFormat="0" applyBorder="0" applyAlignment="0" applyProtection="0"/>
    <xf numFmtId="0" fontId="38" fillId="40" borderId="0"/>
    <xf numFmtId="0" fontId="38" fillId="35" borderId="0"/>
    <xf numFmtId="0" fontId="12" fillId="11" borderId="0" applyNumberFormat="0" applyBorder="0" applyAlignment="0" applyProtection="0"/>
    <xf numFmtId="0" fontId="38" fillId="35" borderId="0"/>
    <xf numFmtId="0" fontId="38" fillId="38" borderId="0"/>
    <xf numFmtId="0" fontId="12" fillId="15" borderId="0" applyNumberFormat="0" applyBorder="0" applyAlignment="0" applyProtection="0"/>
    <xf numFmtId="0" fontId="38" fillId="38" borderId="0"/>
    <xf numFmtId="0" fontId="38" fillId="41" borderId="0"/>
    <xf numFmtId="0" fontId="12" fillId="18" borderId="0" applyNumberFormat="0" applyBorder="0" applyAlignment="0" applyProtection="0"/>
    <xf numFmtId="0" fontId="38" fillId="41" borderId="0"/>
    <xf numFmtId="0" fontId="12" fillId="15" borderId="0" applyNumberFormat="0" applyBorder="0" applyAlignment="0" applyProtection="0"/>
    <xf numFmtId="0" fontId="38" fillId="38" borderId="0"/>
    <xf numFmtId="0" fontId="12" fillId="15" borderId="0" applyNumberFormat="0" applyBorder="0" applyAlignment="0" applyProtection="0"/>
    <xf numFmtId="0" fontId="38" fillId="38" borderId="0"/>
    <xf numFmtId="0" fontId="12" fillId="16" borderId="0" applyNumberFormat="0" applyBorder="0" applyAlignment="0" applyProtection="0"/>
    <xf numFmtId="0" fontId="38" fillId="39" borderId="0"/>
    <xf numFmtId="0" fontId="12" fillId="16" borderId="0" applyNumberFormat="0" applyBorder="0" applyAlignment="0" applyProtection="0"/>
    <xf numFmtId="0" fontId="38" fillId="39" borderId="0"/>
    <xf numFmtId="0" fontId="12" fillId="17" borderId="0" applyNumberFormat="0" applyBorder="0" applyAlignment="0" applyProtection="0"/>
    <xf numFmtId="0" fontId="38" fillId="40" borderId="0"/>
    <xf numFmtId="0" fontId="12" fillId="17" borderId="0" applyNumberFormat="0" applyBorder="0" applyAlignment="0" applyProtection="0"/>
    <xf numFmtId="0" fontId="38" fillId="40" borderId="0"/>
    <xf numFmtId="0" fontId="12" fillId="11" borderId="0" applyNumberFormat="0" applyBorder="0" applyAlignment="0" applyProtection="0"/>
    <xf numFmtId="0" fontId="38" fillId="35" borderId="0"/>
    <xf numFmtId="0" fontId="12" fillId="11" borderId="0" applyNumberFormat="0" applyBorder="0" applyAlignment="0" applyProtection="0"/>
    <xf numFmtId="0" fontId="38" fillId="35" borderId="0"/>
    <xf numFmtId="0" fontId="12" fillId="15" borderId="0" applyNumberFormat="0" applyBorder="0" applyAlignment="0" applyProtection="0"/>
    <xf numFmtId="0" fontId="38" fillId="38" borderId="0"/>
    <xf numFmtId="0" fontId="12" fillId="15" borderId="0" applyNumberFormat="0" applyBorder="0" applyAlignment="0" applyProtection="0"/>
    <xf numFmtId="0" fontId="38" fillId="38" borderId="0"/>
    <xf numFmtId="0" fontId="12" fillId="18" borderId="0" applyNumberFormat="0" applyBorder="0" applyAlignment="0" applyProtection="0"/>
    <xf numFmtId="0" fontId="38" fillId="41" borderId="0"/>
    <xf numFmtId="0" fontId="12" fillId="18" borderId="0" applyNumberFormat="0" applyBorder="0" applyAlignment="0" applyProtection="0"/>
    <xf numFmtId="0" fontId="38" fillId="41" borderId="0"/>
    <xf numFmtId="0" fontId="39" fillId="42" borderId="0"/>
    <xf numFmtId="0" fontId="22" fillId="21" borderId="0" applyNumberFormat="0" applyBorder="0" applyAlignment="0" applyProtection="0"/>
    <xf numFmtId="0" fontId="39" fillId="42" borderId="0"/>
    <xf numFmtId="0" fontId="39" fillId="39" borderId="0"/>
    <xf numFmtId="0" fontId="22" fillId="16" borderId="0" applyNumberFormat="0" applyBorder="0" applyAlignment="0" applyProtection="0"/>
    <xf numFmtId="0" fontId="39" fillId="39" borderId="0"/>
    <xf numFmtId="0" fontId="39" fillId="40" borderId="0"/>
    <xf numFmtId="0" fontId="22" fillId="17" borderId="0" applyNumberFormat="0" applyBorder="0" applyAlignment="0" applyProtection="0"/>
    <xf numFmtId="0" fontId="39" fillId="40" borderId="0"/>
    <xf numFmtId="0" fontId="39" fillId="43" borderId="0"/>
    <xf numFmtId="0" fontId="22" fillId="22" borderId="0" applyNumberFormat="0" applyBorder="0" applyAlignment="0" applyProtection="0"/>
    <xf numFmtId="0" fontId="39" fillId="43" borderId="0"/>
    <xf numFmtId="0" fontId="39" fillId="44" borderId="0"/>
    <xf numFmtId="0" fontId="22" fillId="23" borderId="0" applyNumberFormat="0" applyBorder="0" applyAlignment="0" applyProtection="0"/>
    <xf numFmtId="0" fontId="39" fillId="44" borderId="0"/>
    <xf numFmtId="0" fontId="39" fillId="45" borderId="0"/>
    <xf numFmtId="0" fontId="22" fillId="24" borderId="0" applyNumberFormat="0" applyBorder="0" applyAlignment="0" applyProtection="0"/>
    <xf numFmtId="0" fontId="39" fillId="45" borderId="0"/>
    <xf numFmtId="0" fontId="22" fillId="21" borderId="0" applyNumberFormat="0" applyBorder="0" applyAlignment="0" applyProtection="0"/>
    <xf numFmtId="0" fontId="39" fillId="42" borderId="0"/>
    <xf numFmtId="0" fontId="22" fillId="21" borderId="0" applyNumberFormat="0" applyBorder="0" applyAlignment="0" applyProtection="0"/>
    <xf numFmtId="0" fontId="39" fillId="42" borderId="0"/>
    <xf numFmtId="0" fontId="22" fillId="16" borderId="0" applyNumberFormat="0" applyBorder="0" applyAlignment="0" applyProtection="0"/>
    <xf numFmtId="0" fontId="39" fillId="39" borderId="0"/>
    <xf numFmtId="0" fontId="22" fillId="16" borderId="0" applyNumberFormat="0" applyBorder="0" applyAlignment="0" applyProtection="0"/>
    <xf numFmtId="0" fontId="39" fillId="39" borderId="0"/>
    <xf numFmtId="0" fontId="22" fillId="17" borderId="0" applyNumberFormat="0" applyBorder="0" applyAlignment="0" applyProtection="0"/>
    <xf numFmtId="0" fontId="39" fillId="40" borderId="0"/>
    <xf numFmtId="0" fontId="22" fillId="17" borderId="0" applyNumberFormat="0" applyBorder="0" applyAlignment="0" applyProtection="0"/>
    <xf numFmtId="0" fontId="39" fillId="40" borderId="0"/>
    <xf numFmtId="0" fontId="22" fillId="22" borderId="0" applyNumberFormat="0" applyBorder="0" applyAlignment="0" applyProtection="0"/>
    <xf numFmtId="0" fontId="39" fillId="43" borderId="0"/>
    <xf numFmtId="0" fontId="22" fillId="22" borderId="0" applyNumberFormat="0" applyBorder="0" applyAlignment="0" applyProtection="0"/>
    <xf numFmtId="0" fontId="39" fillId="43" borderId="0"/>
    <xf numFmtId="0" fontId="22" fillId="23" borderId="0" applyNumberFormat="0" applyBorder="0" applyAlignment="0" applyProtection="0"/>
    <xf numFmtId="0" fontId="39" fillId="44" borderId="0"/>
    <xf numFmtId="0" fontId="22" fillId="23" borderId="0" applyNumberFormat="0" applyBorder="0" applyAlignment="0" applyProtection="0"/>
    <xf numFmtId="0" fontId="39" fillId="44" borderId="0"/>
    <xf numFmtId="0" fontId="22" fillId="24" borderId="0" applyNumberFormat="0" applyBorder="0" applyAlignment="0" applyProtection="0"/>
    <xf numFmtId="0" fontId="39" fillId="45" borderId="0"/>
    <xf numFmtId="0" fontId="22" fillId="24" borderId="0" applyNumberFormat="0" applyBorder="0" applyAlignment="0" applyProtection="0"/>
    <xf numFmtId="0" fontId="39" fillId="45" borderId="0"/>
    <xf numFmtId="0" fontId="40" fillId="0" borderId="0"/>
    <xf numFmtId="0" fontId="41" fillId="46" borderId="0"/>
    <xf numFmtId="0" fontId="41" fillId="46" borderId="0"/>
    <xf numFmtId="0" fontId="42" fillId="46" borderId="0"/>
    <xf numFmtId="0" fontId="41" fillId="47" borderId="0"/>
    <xf numFmtId="0" fontId="41" fillId="47" borderId="0"/>
    <xf numFmtId="0" fontId="42" fillId="47" borderId="0"/>
    <xf numFmtId="0" fontId="40" fillId="48" borderId="0"/>
    <xf numFmtId="0" fontId="40" fillId="49" borderId="0"/>
    <xf numFmtId="0" fontId="43" fillId="48" borderId="0"/>
    <xf numFmtId="0" fontId="43" fillId="0" borderId="0"/>
    <xf numFmtId="0" fontId="40" fillId="0" borderId="0"/>
    <xf numFmtId="0" fontId="39" fillId="50" borderId="0"/>
    <xf numFmtId="0" fontId="22" fillId="26" borderId="0" applyNumberFormat="0" applyBorder="0" applyAlignment="0" applyProtection="0"/>
    <xf numFmtId="0" fontId="39" fillId="50" borderId="0"/>
    <xf numFmtId="0" fontId="39" fillId="51" borderId="0"/>
    <xf numFmtId="0" fontId="22" fillId="27" borderId="0" applyNumberFormat="0" applyBorder="0" applyAlignment="0" applyProtection="0"/>
    <xf numFmtId="0" fontId="39" fillId="51" borderId="0"/>
    <xf numFmtId="0" fontId="39" fillId="52" borderId="0"/>
    <xf numFmtId="0" fontId="22" fillId="25" borderId="0" applyNumberFormat="0" applyBorder="0" applyAlignment="0" applyProtection="0"/>
    <xf numFmtId="0" fontId="39" fillId="52" borderId="0"/>
    <xf numFmtId="0" fontId="39" fillId="43" borderId="0"/>
    <xf numFmtId="0" fontId="22" fillId="22" borderId="0" applyNumberFormat="0" applyBorder="0" applyAlignment="0" applyProtection="0"/>
    <xf numFmtId="0" fontId="39" fillId="43" borderId="0"/>
    <xf numFmtId="0" fontId="39" fillId="44" borderId="0"/>
    <xf numFmtId="0" fontId="22" fillId="23" borderId="0" applyNumberFormat="0" applyBorder="0" applyAlignment="0" applyProtection="0"/>
    <xf numFmtId="0" fontId="39" fillId="44" borderId="0"/>
    <xf numFmtId="0" fontId="39" fillId="53" borderId="0"/>
    <xf numFmtId="0" fontId="22" fillId="28" borderId="0" applyNumberFormat="0" applyBorder="0" applyAlignment="0" applyProtection="0"/>
    <xf numFmtId="0" fontId="39" fillId="53" borderId="0"/>
    <xf numFmtId="0" fontId="44" fillId="54" borderId="0"/>
    <xf numFmtId="0" fontId="45" fillId="39" borderId="0"/>
    <xf numFmtId="0" fontId="25" fillId="9" borderId="0" applyNumberFormat="0" applyBorder="0" applyAlignment="0" applyProtection="0"/>
    <xf numFmtId="0" fontId="46" fillId="33" borderId="0"/>
    <xf numFmtId="0" fontId="47" fillId="54" borderId="0"/>
    <xf numFmtId="0" fontId="18" fillId="10" borderId="0" applyNumberFormat="0" applyBorder="0" applyAlignment="0" applyProtection="0"/>
    <xf numFmtId="0" fontId="48" fillId="34" borderId="0"/>
    <xf numFmtId="0" fontId="18" fillId="10" borderId="0" applyNumberFormat="0" applyBorder="0" applyAlignment="0" applyProtection="0"/>
    <xf numFmtId="0" fontId="48" fillId="34" borderId="0"/>
    <xf numFmtId="0" fontId="49" fillId="49" borderId="35"/>
    <xf numFmtId="0" fontId="19" fillId="19" borderId="14" applyNumberFormat="0" applyAlignment="0" applyProtection="0"/>
    <xf numFmtId="0" fontId="49" fillId="49" borderId="35"/>
    <xf numFmtId="0" fontId="19" fillId="19" borderId="14" applyNumberFormat="0" applyAlignment="0" applyProtection="0"/>
    <xf numFmtId="0" fontId="49" fillId="49" borderId="35"/>
    <xf numFmtId="0" fontId="19" fillId="19" borderId="14" applyNumberFormat="0" applyAlignment="0" applyProtection="0"/>
    <xf numFmtId="0" fontId="49" fillId="49" borderId="35"/>
    <xf numFmtId="0" fontId="13" fillId="0" borderId="0" applyNumberFormat="0" applyFill="0" applyBorder="0" applyAlignment="0" applyProtection="0"/>
    <xf numFmtId="0" fontId="50" fillId="0" borderId="0"/>
    <xf numFmtId="0" fontId="20" fillId="29" borderId="15" applyNumberFormat="0" applyAlignment="0" applyProtection="0"/>
    <xf numFmtId="0" fontId="51" fillId="55" borderId="16"/>
    <xf numFmtId="0" fontId="20" fillId="29" borderId="15" applyNumberFormat="0" applyAlignment="0" applyProtection="0"/>
    <xf numFmtId="0" fontId="51" fillId="55" borderId="16"/>
    <xf numFmtId="0" fontId="21" fillId="0" borderId="17" applyNumberFormat="0" applyFill="0" applyAlignment="0" applyProtection="0"/>
    <xf numFmtId="0" fontId="52" fillId="0" borderId="18"/>
    <xf numFmtId="0" fontId="21" fillId="0" borderId="17" applyNumberFormat="0" applyFill="0" applyAlignment="0" applyProtection="0"/>
    <xf numFmtId="0" fontId="52" fillId="0" borderId="18"/>
    <xf numFmtId="0" fontId="51" fillId="55" borderId="36"/>
    <xf numFmtId="0" fontId="20" fillId="29" borderId="15" applyNumberFormat="0" applyAlignment="0" applyProtection="0"/>
    <xf numFmtId="0" fontId="51" fillId="55" borderId="16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8" fontId="38" fillId="0" borderId="0"/>
    <xf numFmtId="165" fontId="30" fillId="0" borderId="0" applyFont="0" applyFill="0" applyBorder="0" applyAlignment="0" applyProtection="0"/>
    <xf numFmtId="168" fontId="38" fillId="0" borderId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8" fontId="38" fillId="0" borderId="0"/>
    <xf numFmtId="165" fontId="30" fillId="0" borderId="0" applyFont="0" applyFill="0" applyBorder="0" applyAlignment="0" applyProtection="0"/>
    <xf numFmtId="168" fontId="38" fillId="0" borderId="0"/>
    <xf numFmtId="165" fontId="30" fillId="0" borderId="0" applyFont="0" applyFill="0" applyBorder="0" applyAlignment="0" applyProtection="0"/>
    <xf numFmtId="0" fontId="22" fillId="26" borderId="0" applyNumberFormat="0" applyBorder="0" applyAlignment="0" applyProtection="0"/>
    <xf numFmtId="0" fontId="39" fillId="50" borderId="0"/>
    <xf numFmtId="0" fontId="22" fillId="26" borderId="0" applyNumberFormat="0" applyBorder="0" applyAlignment="0" applyProtection="0"/>
    <xf numFmtId="0" fontId="39" fillId="50" borderId="0"/>
    <xf numFmtId="0" fontId="22" fillId="27" borderId="0" applyNumberFormat="0" applyBorder="0" applyAlignment="0" applyProtection="0"/>
    <xf numFmtId="0" fontId="39" fillId="51" borderId="0"/>
    <xf numFmtId="0" fontId="22" fillId="27" borderId="0" applyNumberFormat="0" applyBorder="0" applyAlignment="0" applyProtection="0"/>
    <xf numFmtId="0" fontId="39" fillId="51" borderId="0"/>
    <xf numFmtId="0" fontId="22" fillId="25" borderId="0" applyNumberFormat="0" applyBorder="0" applyAlignment="0" applyProtection="0"/>
    <xf numFmtId="0" fontId="39" fillId="52" borderId="0"/>
    <xf numFmtId="0" fontId="22" fillId="25" borderId="0" applyNumberFormat="0" applyBorder="0" applyAlignment="0" applyProtection="0"/>
    <xf numFmtId="0" fontId="39" fillId="52" borderId="0"/>
    <xf numFmtId="0" fontId="22" fillId="22" borderId="0" applyNumberFormat="0" applyBorder="0" applyAlignment="0" applyProtection="0"/>
    <xf numFmtId="0" fontId="39" fillId="43" borderId="0"/>
    <xf numFmtId="0" fontId="22" fillId="22" borderId="0" applyNumberFormat="0" applyBorder="0" applyAlignment="0" applyProtection="0"/>
    <xf numFmtId="0" fontId="39" fillId="43" borderId="0"/>
    <xf numFmtId="0" fontId="22" fillId="23" borderId="0" applyNumberFormat="0" applyBorder="0" applyAlignment="0" applyProtection="0"/>
    <xf numFmtId="0" fontId="39" fillId="44" borderId="0"/>
    <xf numFmtId="0" fontId="22" fillId="23" borderId="0" applyNumberFormat="0" applyBorder="0" applyAlignment="0" applyProtection="0"/>
    <xf numFmtId="0" fontId="39" fillId="44" borderId="0"/>
    <xf numFmtId="0" fontId="22" fillId="28" borderId="0" applyNumberFormat="0" applyBorder="0" applyAlignment="0" applyProtection="0"/>
    <xf numFmtId="0" fontId="39" fillId="53" borderId="0"/>
    <xf numFmtId="0" fontId="22" fillId="28" borderId="0" applyNumberFormat="0" applyBorder="0" applyAlignment="0" applyProtection="0"/>
    <xf numFmtId="0" fontId="39" fillId="53" borderId="0"/>
    <xf numFmtId="0" fontId="23" fillId="13" borderId="14" applyNumberFormat="0" applyAlignment="0" applyProtection="0"/>
    <xf numFmtId="0" fontId="53" fillId="37" borderId="35"/>
    <xf numFmtId="0" fontId="23" fillId="13" borderId="14" applyNumberFormat="0" applyAlignment="0" applyProtection="0"/>
    <xf numFmtId="0" fontId="53" fillId="37" borderId="35"/>
    <xf numFmtId="0" fontId="54" fillId="56" borderId="0"/>
    <xf numFmtId="0" fontId="54" fillId="51" borderId="0"/>
    <xf numFmtId="0" fontId="55" fillId="56" borderId="0"/>
    <xf numFmtId="168" fontId="56" fillId="0" borderId="0"/>
    <xf numFmtId="0" fontId="57" fillId="0" borderId="0"/>
    <xf numFmtId="0" fontId="28" fillId="0" borderId="0" applyNumberFormat="0" applyFill="0" applyBorder="0" applyAlignment="0" applyProtection="0"/>
    <xf numFmtId="0" fontId="57" fillId="0" borderId="0"/>
    <xf numFmtId="0" fontId="58" fillId="0" borderId="0"/>
    <xf numFmtId="0" fontId="58" fillId="0" borderId="0"/>
    <xf numFmtId="0" fontId="59" fillId="0" borderId="0"/>
    <xf numFmtId="0" fontId="60" fillId="34" borderId="0"/>
    <xf numFmtId="0" fontId="61" fillId="34" borderId="0"/>
    <xf numFmtId="0" fontId="18" fillId="10" borderId="0" applyNumberFormat="0" applyBorder="0" applyAlignment="0" applyProtection="0"/>
    <xf numFmtId="0" fontId="48" fillId="34" borderId="0"/>
    <xf numFmtId="0" fontId="62" fillId="34" borderId="0"/>
    <xf numFmtId="0" fontId="35" fillId="0" borderId="0">
      <alignment horizontal="center"/>
    </xf>
    <xf numFmtId="0" fontId="63" fillId="0" borderId="0"/>
    <xf numFmtId="0" fontId="64" fillId="0" borderId="0"/>
    <xf numFmtId="0" fontId="63" fillId="0" borderId="0"/>
    <xf numFmtId="0" fontId="64" fillId="0" borderId="0"/>
    <xf numFmtId="0" fontId="64" fillId="0" borderId="0"/>
    <xf numFmtId="0" fontId="64" fillId="0" borderId="0"/>
    <xf numFmtId="0" fontId="65" fillId="0" borderId="0"/>
    <xf numFmtId="0" fontId="65" fillId="0" borderId="0"/>
    <xf numFmtId="0" fontId="32" fillId="0" borderId="19" applyNumberFormat="0" applyFill="0" applyAlignment="0" applyProtection="0"/>
    <xf numFmtId="0" fontId="66" fillId="0" borderId="37"/>
    <xf numFmtId="0" fontId="67" fillId="0" borderId="0"/>
    <xf numFmtId="0" fontId="68" fillId="0" borderId="0"/>
    <xf numFmtId="0" fontId="68" fillId="0" borderId="0"/>
    <xf numFmtId="0" fontId="33" fillId="0" borderId="20" applyNumberFormat="0" applyFill="0" applyAlignment="0" applyProtection="0"/>
    <xf numFmtId="0" fontId="69" fillId="0" borderId="38"/>
    <xf numFmtId="0" fontId="70" fillId="0" borderId="0"/>
    <xf numFmtId="0" fontId="71" fillId="0" borderId="39"/>
    <xf numFmtId="0" fontId="34" fillId="0" borderId="21" applyNumberFormat="0" applyFill="0" applyAlignment="0" applyProtection="0"/>
    <xf numFmtId="0" fontId="71" fillId="0" borderId="39"/>
    <xf numFmtId="0" fontId="72" fillId="0" borderId="0">
      <alignment horizontal="center"/>
    </xf>
    <xf numFmtId="0" fontId="71" fillId="0" borderId="0"/>
    <xf numFmtId="0" fontId="34" fillId="0" borderId="0" applyNumberFormat="0" applyFill="0" applyBorder="0" applyAlignment="0" applyProtection="0"/>
    <xf numFmtId="0" fontId="71" fillId="0" borderId="0"/>
    <xf numFmtId="0" fontId="35" fillId="0" borderId="0">
      <alignment horizontal="center" textRotation="90"/>
    </xf>
    <xf numFmtId="0" fontId="72" fillId="0" borderId="0">
      <alignment horizontal="center" textRotation="90"/>
    </xf>
    <xf numFmtId="0" fontId="25" fillId="9" borderId="0" applyNumberFormat="0" applyBorder="0" applyAlignment="0" applyProtection="0"/>
    <xf numFmtId="0" fontId="46" fillId="33" borderId="0"/>
    <xf numFmtId="0" fontId="53" fillId="37" borderId="35"/>
    <xf numFmtId="0" fontId="23" fillId="13" borderId="14" applyNumberFormat="0" applyAlignment="0" applyProtection="0"/>
    <xf numFmtId="0" fontId="53" fillId="37" borderId="35"/>
    <xf numFmtId="0" fontId="52" fillId="0" borderId="40"/>
    <xf numFmtId="0" fontId="21" fillId="0" borderId="17" applyNumberFormat="0" applyFill="0" applyAlignment="0" applyProtection="0"/>
    <xf numFmtId="0" fontId="52" fillId="0" borderId="18"/>
    <xf numFmtId="0" fontId="24" fillId="20" borderId="0" applyNumberFormat="0" applyBorder="0" applyAlignment="0" applyProtection="0"/>
    <xf numFmtId="0" fontId="73" fillId="57" borderId="0"/>
    <xf numFmtId="0" fontId="74" fillId="58" borderId="0"/>
    <xf numFmtId="0" fontId="75" fillId="58" borderId="0"/>
    <xf numFmtId="0" fontId="24" fillId="20" borderId="0" applyNumberFormat="0" applyBorder="0" applyAlignment="0" applyProtection="0"/>
    <xf numFmtId="0" fontId="73" fillId="57" borderId="0"/>
    <xf numFmtId="0" fontId="76" fillId="58" borderId="0"/>
    <xf numFmtId="0" fontId="24" fillId="20" borderId="0" applyNumberFormat="0" applyBorder="0" applyAlignment="0" applyProtection="0"/>
    <xf numFmtId="0" fontId="73" fillId="57" borderId="0"/>
    <xf numFmtId="0" fontId="77" fillId="0" borderId="0"/>
    <xf numFmtId="0" fontId="78" fillId="0" borderId="0"/>
    <xf numFmtId="0" fontId="30" fillId="0" borderId="0"/>
    <xf numFmtId="0" fontId="30" fillId="0" borderId="0"/>
    <xf numFmtId="0" fontId="79" fillId="0" borderId="0"/>
    <xf numFmtId="0" fontId="30" fillId="0" borderId="0"/>
    <xf numFmtId="0" fontId="79" fillId="0" borderId="0"/>
    <xf numFmtId="0" fontId="30" fillId="0" borderId="0"/>
    <xf numFmtId="0" fontId="2" fillId="0" borderId="0"/>
    <xf numFmtId="0" fontId="2" fillId="0" borderId="0"/>
    <xf numFmtId="0" fontId="38" fillId="0" borderId="0"/>
    <xf numFmtId="0" fontId="38" fillId="0" borderId="0"/>
    <xf numFmtId="0" fontId="2" fillId="0" borderId="0"/>
    <xf numFmtId="0" fontId="2" fillId="0" borderId="0"/>
    <xf numFmtId="0" fontId="38" fillId="0" borderId="0"/>
    <xf numFmtId="0" fontId="38" fillId="0" borderId="0"/>
    <xf numFmtId="0" fontId="56" fillId="0" borderId="0"/>
    <xf numFmtId="0" fontId="80" fillId="0" borderId="0"/>
    <xf numFmtId="0" fontId="2" fillId="0" borderId="0"/>
    <xf numFmtId="0" fontId="2" fillId="0" borderId="0"/>
    <xf numFmtId="0" fontId="38" fillId="0" borderId="0"/>
    <xf numFmtId="0" fontId="38" fillId="0" borderId="0"/>
    <xf numFmtId="0" fontId="30" fillId="0" borderId="0"/>
    <xf numFmtId="0" fontId="38" fillId="0" borderId="0"/>
    <xf numFmtId="0" fontId="81" fillId="0" borderId="0"/>
    <xf numFmtId="0" fontId="37" fillId="0" borderId="0"/>
    <xf numFmtId="0" fontId="13" fillId="0" borderId="0"/>
    <xf numFmtId="0" fontId="50" fillId="0" borderId="0"/>
    <xf numFmtId="0" fontId="30" fillId="0" borderId="0"/>
    <xf numFmtId="0" fontId="30" fillId="0" borderId="0"/>
    <xf numFmtId="0" fontId="30" fillId="0" borderId="0"/>
    <xf numFmtId="0" fontId="79" fillId="0" borderId="0"/>
    <xf numFmtId="0" fontId="30" fillId="0" borderId="0"/>
    <xf numFmtId="0" fontId="79" fillId="0" borderId="0"/>
    <xf numFmtId="0" fontId="30" fillId="0" borderId="0"/>
    <xf numFmtId="0" fontId="2" fillId="0" borderId="0"/>
    <xf numFmtId="0" fontId="2" fillId="0" borderId="0"/>
    <xf numFmtId="0" fontId="38" fillId="0" borderId="0"/>
    <xf numFmtId="0" fontId="38" fillId="0" borderId="0"/>
    <xf numFmtId="0" fontId="30" fillId="0" borderId="0"/>
    <xf numFmtId="0" fontId="79" fillId="0" borderId="0"/>
    <xf numFmtId="0" fontId="30" fillId="0" borderId="0"/>
    <xf numFmtId="0" fontId="30" fillId="0" borderId="0"/>
    <xf numFmtId="0" fontId="79" fillId="0" borderId="0"/>
    <xf numFmtId="0" fontId="30" fillId="0" borderId="0"/>
    <xf numFmtId="0" fontId="79" fillId="0" borderId="0"/>
    <xf numFmtId="0" fontId="30" fillId="0" borderId="0"/>
    <xf numFmtId="0" fontId="30" fillId="0" borderId="0"/>
    <xf numFmtId="0" fontId="30" fillId="0" borderId="0"/>
    <xf numFmtId="0" fontId="79" fillId="0" borderId="0"/>
    <xf numFmtId="0" fontId="30" fillId="0" borderId="0"/>
    <xf numFmtId="0" fontId="79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38" fillId="0" borderId="0"/>
    <xf numFmtId="0" fontId="2" fillId="0" borderId="0"/>
    <xf numFmtId="0" fontId="38" fillId="0" borderId="0"/>
    <xf numFmtId="0" fontId="38" fillId="0" borderId="0"/>
    <xf numFmtId="0" fontId="2" fillId="0" borderId="0"/>
    <xf numFmtId="0" fontId="2" fillId="0" borderId="0"/>
    <xf numFmtId="0" fontId="38" fillId="0" borderId="0"/>
    <xf numFmtId="0" fontId="38" fillId="0" borderId="0"/>
    <xf numFmtId="0" fontId="2" fillId="0" borderId="0"/>
    <xf numFmtId="0" fontId="38" fillId="0" borderId="0"/>
    <xf numFmtId="0" fontId="38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38" fillId="0" borderId="0"/>
    <xf numFmtId="0" fontId="2" fillId="0" borderId="0"/>
    <xf numFmtId="0" fontId="38" fillId="0" borderId="0"/>
    <xf numFmtId="0" fontId="38" fillId="0" borderId="0"/>
    <xf numFmtId="0" fontId="2" fillId="0" borderId="0"/>
    <xf numFmtId="0" fontId="2" fillId="0" borderId="0"/>
    <xf numFmtId="0" fontId="38" fillId="0" borderId="0"/>
    <xf numFmtId="0" fontId="38" fillId="0" borderId="0"/>
    <xf numFmtId="0" fontId="2" fillId="0" borderId="0"/>
    <xf numFmtId="0" fontId="2" fillId="0" borderId="0"/>
    <xf numFmtId="0" fontId="38" fillId="0" borderId="0"/>
    <xf numFmtId="0" fontId="38" fillId="0" borderId="0"/>
    <xf numFmtId="0" fontId="2" fillId="0" borderId="0"/>
    <xf numFmtId="0" fontId="38" fillId="0" borderId="0"/>
    <xf numFmtId="0" fontId="3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38" fillId="0" borderId="0"/>
    <xf numFmtId="0" fontId="2" fillId="0" borderId="0"/>
    <xf numFmtId="0" fontId="38" fillId="0" borderId="0"/>
    <xf numFmtId="0" fontId="38" fillId="0" borderId="0"/>
    <xf numFmtId="0" fontId="2" fillId="0" borderId="0"/>
    <xf numFmtId="0" fontId="2" fillId="0" borderId="0"/>
    <xf numFmtId="0" fontId="38" fillId="0" borderId="0"/>
    <xf numFmtId="0" fontId="38" fillId="0" borderId="0"/>
    <xf numFmtId="0" fontId="2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79" fillId="0" borderId="0"/>
    <xf numFmtId="0" fontId="30" fillId="0" borderId="0"/>
    <xf numFmtId="0" fontId="79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38" fillId="0" borderId="0"/>
    <xf numFmtId="0" fontId="2" fillId="0" borderId="0"/>
    <xf numFmtId="0" fontId="38" fillId="0" borderId="0"/>
    <xf numFmtId="0" fontId="38" fillId="0" borderId="0"/>
    <xf numFmtId="0" fontId="2" fillId="0" borderId="0"/>
    <xf numFmtId="0" fontId="2" fillId="0" borderId="0"/>
    <xf numFmtId="0" fontId="38" fillId="0" borderId="0"/>
    <xf numFmtId="0" fontId="38" fillId="0" borderId="0"/>
    <xf numFmtId="0" fontId="13" fillId="0" borderId="0"/>
    <xf numFmtId="0" fontId="13" fillId="14" borderId="22" applyNumberFormat="0" applyFont="0" applyAlignment="0" applyProtection="0"/>
    <xf numFmtId="0" fontId="38" fillId="58" borderId="41"/>
    <xf numFmtId="0" fontId="13" fillId="14" borderId="22" applyNumberFormat="0" applyFont="0" applyAlignment="0" applyProtection="0"/>
    <xf numFmtId="0" fontId="38" fillId="58" borderId="41"/>
    <xf numFmtId="0" fontId="82" fillId="58" borderId="35"/>
    <xf numFmtId="0" fontId="82" fillId="58" borderId="35"/>
    <xf numFmtId="0" fontId="13" fillId="14" borderId="22" applyNumberFormat="0" applyFont="0" applyAlignment="0" applyProtection="0"/>
    <xf numFmtId="0" fontId="38" fillId="58" borderId="41"/>
    <xf numFmtId="0" fontId="83" fillId="58" borderId="35"/>
    <xf numFmtId="0" fontId="84" fillId="49" borderId="42"/>
    <xf numFmtId="0" fontId="26" fillId="19" borderId="23" applyNumberFormat="0" applyAlignment="0" applyProtection="0"/>
    <xf numFmtId="0" fontId="84" fillId="49" borderId="42"/>
    <xf numFmtId="9" fontId="30" fillId="0" borderId="0" applyFont="0" applyFill="0" applyBorder="0" applyAlignment="0" applyProtection="0"/>
    <xf numFmtId="9" fontId="38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8" fillId="0" borderId="0"/>
    <xf numFmtId="9" fontId="30" fillId="0" borderId="0" applyFont="0" applyFill="0" applyBorder="0" applyAlignment="0" applyProtection="0"/>
    <xf numFmtId="0" fontId="50" fillId="0" borderId="0"/>
    <xf numFmtId="0" fontId="50" fillId="0" borderId="0"/>
    <xf numFmtId="9" fontId="13" fillId="0" borderId="0" applyFill="0" applyBorder="0" applyAlignment="0" applyProtection="0"/>
    <xf numFmtId="9" fontId="50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8" fillId="0" borderId="0"/>
    <xf numFmtId="9" fontId="30" fillId="0" borderId="0" applyFont="0" applyFill="0" applyBorder="0" applyAlignment="0" applyProtection="0"/>
    <xf numFmtId="9" fontId="38" fillId="0" borderId="0"/>
    <xf numFmtId="9" fontId="3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8" fillId="0" borderId="0"/>
    <xf numFmtId="9" fontId="38" fillId="0" borderId="0"/>
    <xf numFmtId="9" fontId="2" fillId="0" borderId="0" applyFont="0" applyFill="0" applyBorder="0" applyAlignment="0" applyProtection="0"/>
    <xf numFmtId="9" fontId="38" fillId="0" borderId="0"/>
    <xf numFmtId="9" fontId="38" fillId="0" borderId="0"/>
    <xf numFmtId="9" fontId="30" fillId="0" borderId="0" applyFont="0" applyFill="0" applyBorder="0" applyAlignment="0" applyProtection="0"/>
    <xf numFmtId="9" fontId="38" fillId="0" borderId="0"/>
    <xf numFmtId="9" fontId="30" fillId="0" borderId="0" applyFont="0" applyFill="0" applyBorder="0" applyAlignment="0" applyProtection="0"/>
    <xf numFmtId="0" fontId="36" fillId="0" borderId="0"/>
    <xf numFmtId="0" fontId="85" fillId="0" borderId="0"/>
    <xf numFmtId="167" fontId="36" fillId="0" borderId="0"/>
    <xf numFmtId="167" fontId="85" fillId="0" borderId="0"/>
    <xf numFmtId="0" fontId="25" fillId="9" borderId="0" applyNumberFormat="0" applyBorder="0" applyAlignment="0" applyProtection="0"/>
    <xf numFmtId="0" fontId="46" fillId="33" borderId="0"/>
    <xf numFmtId="0" fontId="26" fillId="19" borderId="23" applyNumberFormat="0" applyAlignment="0" applyProtection="0"/>
    <xf numFmtId="0" fontId="84" fillId="49" borderId="42"/>
    <xf numFmtId="0" fontId="26" fillId="19" borderId="23" applyNumberFormat="0" applyAlignment="0" applyProtection="0"/>
    <xf numFmtId="0" fontId="84" fillId="49" borderId="42"/>
    <xf numFmtId="0" fontId="56" fillId="0" borderId="0"/>
    <xf numFmtId="0" fontId="80" fillId="0" borderId="0"/>
    <xf numFmtId="0" fontId="38" fillId="0" borderId="0"/>
    <xf numFmtId="0" fontId="56" fillId="0" borderId="0"/>
    <xf numFmtId="0" fontId="80" fillId="0" borderId="0"/>
    <xf numFmtId="0" fontId="38" fillId="0" borderId="0"/>
    <xf numFmtId="0" fontId="27" fillId="0" borderId="0" applyNumberFormat="0" applyFill="0" applyBorder="0" applyAlignment="0" applyProtection="0"/>
    <xf numFmtId="0" fontId="86" fillId="0" borderId="0"/>
    <xf numFmtId="0" fontId="27" fillId="0" borderId="0" applyNumberFormat="0" applyFill="0" applyBorder="0" applyAlignment="0" applyProtection="0"/>
    <xf numFmtId="0" fontId="86" fillId="0" borderId="0"/>
    <xf numFmtId="0" fontId="28" fillId="0" borderId="0" applyNumberFormat="0" applyFill="0" applyBorder="0" applyAlignment="0" applyProtection="0"/>
    <xf numFmtId="0" fontId="57" fillId="0" borderId="0"/>
    <xf numFmtId="0" fontId="28" fillId="0" borderId="0" applyNumberFormat="0" applyFill="0" applyBorder="0" applyAlignment="0" applyProtection="0"/>
    <xf numFmtId="0" fontId="57" fillId="0" borderId="0"/>
    <xf numFmtId="0" fontId="87" fillId="0" borderId="0"/>
    <xf numFmtId="0" fontId="31" fillId="0" borderId="0" applyNumberFormat="0" applyFill="0" applyBorder="0" applyAlignment="0" applyProtection="0"/>
    <xf numFmtId="0" fontId="87" fillId="0" borderId="0"/>
    <xf numFmtId="0" fontId="32" fillId="0" borderId="19" applyNumberFormat="0" applyFill="0" applyAlignment="0" applyProtection="0"/>
    <xf numFmtId="0" fontId="66" fillId="0" borderId="37"/>
    <xf numFmtId="0" fontId="32" fillId="0" borderId="19" applyNumberFormat="0" applyFill="0" applyAlignment="0" applyProtection="0"/>
    <xf numFmtId="0" fontId="66" fillId="0" borderId="37"/>
    <xf numFmtId="0" fontId="33" fillId="0" borderId="20" applyNumberFormat="0" applyFill="0" applyAlignment="0" applyProtection="0"/>
    <xf numFmtId="0" fontId="69" fillId="0" borderId="38"/>
    <xf numFmtId="0" fontId="33" fillId="0" borderId="20" applyNumberFormat="0" applyFill="0" applyAlignment="0" applyProtection="0"/>
    <xf numFmtId="0" fontId="69" fillId="0" borderId="38"/>
    <xf numFmtId="0" fontId="34" fillId="0" borderId="21" applyNumberFormat="0" applyFill="0" applyAlignment="0" applyProtection="0"/>
    <xf numFmtId="0" fontId="71" fillId="0" borderId="39"/>
    <xf numFmtId="0" fontId="34" fillId="0" borderId="21" applyNumberFormat="0" applyFill="0" applyAlignment="0" applyProtection="0"/>
    <xf numFmtId="0" fontId="71" fillId="0" borderId="39"/>
    <xf numFmtId="0" fontId="34" fillId="0" borderId="0" applyNumberFormat="0" applyFill="0" applyBorder="0" applyAlignment="0" applyProtection="0"/>
    <xf numFmtId="0" fontId="71" fillId="0" borderId="0"/>
    <xf numFmtId="0" fontId="34" fillId="0" borderId="0" applyNumberFormat="0" applyFill="0" applyBorder="0" applyAlignment="0" applyProtection="0"/>
    <xf numFmtId="0" fontId="71" fillId="0" borderId="0"/>
    <xf numFmtId="0" fontId="31" fillId="0" borderId="0" applyNumberFormat="0" applyFill="0" applyBorder="0" applyAlignment="0" applyProtection="0"/>
    <xf numFmtId="0" fontId="87" fillId="0" borderId="0"/>
    <xf numFmtId="0" fontId="31" fillId="0" borderId="0" applyNumberFormat="0" applyFill="0" applyBorder="0" applyAlignment="0" applyProtection="0"/>
    <xf numFmtId="0" fontId="87" fillId="0" borderId="0"/>
    <xf numFmtId="0" fontId="29" fillId="0" borderId="24" applyNumberFormat="0" applyFill="0" applyAlignment="0" applyProtection="0"/>
    <xf numFmtId="0" fontId="88" fillId="0" borderId="43"/>
    <xf numFmtId="0" fontId="29" fillId="0" borderId="24" applyNumberFormat="0" applyFill="0" applyAlignment="0" applyProtection="0"/>
    <xf numFmtId="0" fontId="88" fillId="0" borderId="43"/>
    <xf numFmtId="0" fontId="29" fillId="0" borderId="24" applyNumberFormat="0" applyFill="0" applyAlignment="0" applyProtection="0"/>
    <xf numFmtId="0" fontId="88" fillId="0" borderId="44"/>
    <xf numFmtId="0" fontId="88" fillId="0" borderId="43"/>
    <xf numFmtId="0" fontId="13" fillId="0" borderId="0" applyNumberFormat="0" applyFill="0" applyBorder="0" applyAlignment="0" applyProtection="0"/>
    <xf numFmtId="0" fontId="50" fillId="0" borderId="0"/>
    <xf numFmtId="165" fontId="2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8" fontId="38" fillId="0" borderId="0"/>
    <xf numFmtId="165" fontId="30" fillId="0" borderId="0" applyFont="0" applyFill="0" applyBorder="0" applyAlignment="0" applyProtection="0"/>
    <xf numFmtId="168" fontId="38" fillId="0" borderId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8" fontId="38" fillId="0" borderId="0"/>
    <xf numFmtId="165" fontId="30" fillId="0" borderId="0" applyFont="0" applyFill="0" applyBorder="0" applyAlignment="0" applyProtection="0"/>
    <xf numFmtId="168" fontId="38" fillId="0" borderId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8" fontId="38" fillId="0" borderId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8" fontId="38" fillId="0" borderId="0"/>
    <xf numFmtId="165" fontId="30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44" fillId="0" borderId="0"/>
    <xf numFmtId="0" fontId="45" fillId="0" borderId="0"/>
    <xf numFmtId="0" fontId="47" fillId="0" borderId="0"/>
    <xf numFmtId="0" fontId="86" fillId="0" borderId="0"/>
    <xf numFmtId="0" fontId="27" fillId="0" borderId="0" applyNumberFormat="0" applyFill="0" applyBorder="0" applyAlignment="0" applyProtection="0"/>
    <xf numFmtId="0" fontId="86" fillId="0" borderId="0"/>
    <xf numFmtId="44" fontId="2" fillId="0" borderId="0" applyFont="0" applyFill="0" applyBorder="0" applyAlignment="0" applyProtection="0"/>
  </cellStyleXfs>
  <cellXfs count="63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2" borderId="1" xfId="0" applyFont="1" applyFill="1" applyBorder="1"/>
    <xf numFmtId="14" fontId="0" fillId="0" borderId="0" xfId="0" applyNumberFormat="1"/>
    <xf numFmtId="0" fontId="1" fillId="0" borderId="0" xfId="0" applyFont="1"/>
    <xf numFmtId="0" fontId="4" fillId="0" borderId="3" xfId="4"/>
    <xf numFmtId="0" fontId="3" fillId="0" borderId="2" xfId="3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6" fillId="4" borderId="4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vertical="center" wrapText="1"/>
    </xf>
    <xf numFmtId="0" fontId="8" fillId="3" borderId="10" xfId="0" applyFont="1" applyFill="1" applyBorder="1" applyAlignment="1">
      <alignment horizontal="right" vertical="center" wrapText="1"/>
    </xf>
    <xf numFmtId="0" fontId="7" fillId="3" borderId="10" xfId="0" applyFont="1" applyFill="1" applyBorder="1" applyAlignment="1">
      <alignment vertical="center" wrapText="1"/>
    </xf>
    <xf numFmtId="0" fontId="7" fillId="3" borderId="10" xfId="0" applyFont="1" applyFill="1" applyBorder="1" applyAlignment="1">
      <alignment horizontal="right" vertical="center" wrapText="1"/>
    </xf>
    <xf numFmtId="0" fontId="9" fillId="5" borderId="0" xfId="0" applyFont="1" applyFill="1" applyAlignment="1">
      <alignment horizontal="left" vertical="center" wrapText="1"/>
    </xf>
    <xf numFmtId="0" fontId="9" fillId="5" borderId="11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vertical="center" wrapText="1"/>
    </xf>
    <xf numFmtId="0" fontId="10" fillId="5" borderId="11" xfId="0" applyFont="1" applyFill="1" applyBorder="1" applyAlignment="1">
      <alignment vertical="center" wrapText="1"/>
    </xf>
    <xf numFmtId="4" fontId="10" fillId="5" borderId="11" xfId="0" applyNumberFormat="1" applyFont="1" applyFill="1" applyBorder="1" applyAlignment="1">
      <alignment vertical="center" wrapText="1"/>
    </xf>
    <xf numFmtId="0" fontId="5" fillId="0" borderId="0" xfId="5" applyAlignment="1">
      <alignment wrapText="1"/>
    </xf>
    <xf numFmtId="0" fontId="5" fillId="5" borderId="0" xfId="5" applyFill="1" applyBorder="1" applyAlignment="1">
      <alignment horizontal="left" vertical="center" wrapText="1"/>
    </xf>
    <xf numFmtId="4" fontId="10" fillId="5" borderId="0" xfId="0" applyNumberFormat="1" applyFont="1" applyFill="1" applyAlignment="1">
      <alignment vertical="center" wrapText="1"/>
    </xf>
    <xf numFmtId="164" fontId="10" fillId="5" borderId="0" xfId="2" applyNumberFormat="1" applyFont="1" applyFill="1" applyBorder="1" applyAlignment="1">
      <alignment vertical="center" wrapText="1"/>
    </xf>
    <xf numFmtId="0" fontId="9" fillId="5" borderId="11" xfId="0" applyFont="1" applyFill="1" applyBorder="1" applyAlignment="1">
      <alignment horizontal="left" vertical="top" wrapText="1"/>
    </xf>
    <xf numFmtId="166" fontId="11" fillId="6" borderId="12" xfId="1" applyNumberFormat="1" applyFont="1" applyFill="1" applyBorder="1"/>
    <xf numFmtId="0" fontId="9" fillId="5" borderId="0" xfId="0" applyFont="1" applyFill="1" applyAlignment="1">
      <alignment horizontal="left" vertical="top" wrapText="1"/>
    </xf>
    <xf numFmtId="0" fontId="1" fillId="0" borderId="0" xfId="0" applyFont="1" applyAlignment="1">
      <alignment wrapText="1"/>
    </xf>
    <xf numFmtId="0" fontId="5" fillId="7" borderId="13" xfId="5" applyFill="1" applyBorder="1" applyAlignment="1">
      <alignment horizontal="left" vertical="center" wrapText="1"/>
    </xf>
    <xf numFmtId="3" fontId="16" fillId="30" borderId="25" xfId="414" applyNumberFormat="1" applyFont="1" applyFill="1" applyBorder="1" applyAlignment="1">
      <alignment vertical="center"/>
    </xf>
    <xf numFmtId="3" fontId="16" fillId="30" borderId="25" xfId="414" applyNumberFormat="1" applyFont="1" applyFill="1" applyBorder="1" applyAlignment="1">
      <alignment horizontal="right" vertical="center"/>
    </xf>
    <xf numFmtId="0" fontId="16" fillId="30" borderId="27" xfId="414" applyFont="1" applyFill="1" applyBorder="1" applyAlignment="1">
      <alignment vertical="center" wrapText="1"/>
    </xf>
    <xf numFmtId="43" fontId="89" fillId="0" borderId="0" xfId="1" applyFont="1" applyAlignment="1">
      <alignment horizontal="right"/>
    </xf>
    <xf numFmtId="0" fontId="89" fillId="0" borderId="0" xfId="0" applyFont="1"/>
    <xf numFmtId="166" fontId="89" fillId="6" borderId="12" xfId="1" applyNumberFormat="1" applyFont="1" applyFill="1" applyBorder="1"/>
    <xf numFmtId="0" fontId="89" fillId="0" borderId="0" xfId="0" applyFont="1" applyAlignment="1">
      <alignment horizontal="right"/>
    </xf>
    <xf numFmtId="3" fontId="16" fillId="30" borderId="45" xfId="414" applyNumberFormat="1" applyFont="1" applyFill="1" applyBorder="1" applyAlignment="1">
      <alignment horizontal="right" vertical="center"/>
    </xf>
    <xf numFmtId="0" fontId="16" fillId="30" borderId="34" xfId="414" applyFont="1" applyFill="1" applyBorder="1" applyAlignment="1">
      <alignment vertical="center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vertical="center" wrapText="1"/>
    </xf>
    <xf numFmtId="3" fontId="15" fillId="31" borderId="25" xfId="414" applyNumberFormat="1" applyFont="1" applyFill="1" applyBorder="1" applyAlignment="1">
      <alignment vertical="center" wrapText="1"/>
    </xf>
    <xf numFmtId="3" fontId="15" fillId="31" borderId="25" xfId="414" applyNumberFormat="1" applyFont="1" applyFill="1" applyBorder="1" applyAlignment="1">
      <alignment vertical="center"/>
    </xf>
    <xf numFmtId="0" fontId="15" fillId="59" borderId="26" xfId="414" applyFont="1" applyFill="1" applyBorder="1" applyAlignment="1">
      <alignment horizontal="center" vertical="center" wrapText="1"/>
    </xf>
    <xf numFmtId="0" fontId="16" fillId="30" borderId="27" xfId="414" applyFont="1" applyFill="1" applyBorder="1" applyAlignment="1">
      <alignment horizontal="left" vertical="center" wrapText="1"/>
    </xf>
    <xf numFmtId="0" fontId="16" fillId="30" borderId="28" xfId="414" applyFont="1" applyFill="1" applyBorder="1" applyAlignment="1">
      <alignment horizontal="left" vertical="center" wrapText="1"/>
    </xf>
    <xf numFmtId="0" fontId="14" fillId="59" borderId="32" xfId="414" applyFont="1" applyFill="1" applyBorder="1" applyAlignment="1">
      <alignment horizontal="center" vertical="center" wrapText="1"/>
    </xf>
    <xf numFmtId="0" fontId="14" fillId="59" borderId="33" xfId="414" applyFont="1" applyFill="1" applyBorder="1" applyAlignment="1">
      <alignment horizontal="center" vertical="center" wrapText="1"/>
    </xf>
    <xf numFmtId="0" fontId="14" fillId="59" borderId="29" xfId="414" applyFont="1" applyFill="1" applyBorder="1" applyAlignment="1">
      <alignment horizontal="center" vertical="center" wrapText="1"/>
    </xf>
    <xf numFmtId="0" fontId="14" fillId="59" borderId="30" xfId="414" applyFont="1" applyFill="1" applyBorder="1" applyAlignment="1">
      <alignment horizontal="center" vertical="center" wrapText="1"/>
    </xf>
    <xf numFmtId="0" fontId="14" fillId="59" borderId="31" xfId="414" applyFont="1" applyFill="1" applyBorder="1" applyAlignment="1">
      <alignment horizontal="center" vertical="center" wrapText="1"/>
    </xf>
    <xf numFmtId="0" fontId="15" fillId="31" borderId="27" xfId="414" applyFont="1" applyFill="1" applyBorder="1" applyAlignment="1">
      <alignment horizontal="left" vertical="center" wrapText="1"/>
    </xf>
    <xf numFmtId="0" fontId="15" fillId="31" borderId="28" xfId="414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0" fillId="0" borderId="0" xfId="0" applyFont="1"/>
    <xf numFmtId="44" fontId="0" fillId="0" borderId="0" xfId="539" applyFont="1"/>
  </cellXfs>
  <cellStyles count="540">
    <cellStyle name="20% - Accent1 2" xfId="7" xr:uid="{8782A57D-62A8-4A6A-8EA4-C51FC3F45133}"/>
    <cellStyle name="20% - Accent1 2 2" xfId="8" xr:uid="{9F8FACDE-183C-43FB-B6D0-6458D6A96523}"/>
    <cellStyle name="20% - Accent1 3" xfId="6" xr:uid="{66E41C7B-2D0A-4DC5-9071-CE332B9CBD64}"/>
    <cellStyle name="20% - Accent2 2" xfId="10" xr:uid="{E247AC28-0F1F-4EE5-AB57-B69D063458AB}"/>
    <cellStyle name="20% - Accent2 2 2" xfId="11" xr:uid="{BE0A7849-DE21-4B42-93AC-E8A9EE25A173}"/>
    <cellStyle name="20% - Accent2 3" xfId="9" xr:uid="{CF480981-BDE7-4B95-983B-020B817D5F6B}"/>
    <cellStyle name="20% - Accent3 2" xfId="13" xr:uid="{54421E01-D77E-4F59-8186-51B038433A30}"/>
    <cellStyle name="20% - Accent3 2 2" xfId="14" xr:uid="{7EDFD438-8B84-407E-9F73-CE2568883860}"/>
    <cellStyle name="20% - Accent3 3" xfId="12" xr:uid="{19C6C876-9AB5-4028-9D93-5C4B407BD795}"/>
    <cellStyle name="20% - Accent4 2" xfId="16" xr:uid="{EFBAB7E8-7F07-4459-8EBD-87BDCF3104D4}"/>
    <cellStyle name="20% - Accent4 2 2" xfId="17" xr:uid="{0D8F6201-71E1-49A5-B8AD-73BC751C9C95}"/>
    <cellStyle name="20% - Accent4 3" xfId="15" xr:uid="{4F49C86A-8835-4992-BC8A-71FFAF386D7C}"/>
    <cellStyle name="20% - Accent5 2" xfId="19" xr:uid="{322293E9-29EB-4C44-B0A3-1CC201FE4AD6}"/>
    <cellStyle name="20% - Accent5 2 2" xfId="20" xr:uid="{B224E18F-E467-45B0-9092-26A0B2B86071}"/>
    <cellStyle name="20% - Accent5 3" xfId="18" xr:uid="{D8DE8C7B-DFDC-491A-A0F6-E018F0AEE1A9}"/>
    <cellStyle name="20% - Accent6 2" xfId="22" xr:uid="{3DEFDC96-E577-4C9B-821D-C0E7BA598427}"/>
    <cellStyle name="20% - Accent6 2 2" xfId="23" xr:uid="{E55EDEF3-1340-437E-B355-C4CB8BD300E5}"/>
    <cellStyle name="20% - Accent6 3" xfId="21" xr:uid="{82141252-7875-4A13-A1E2-BB51F137E530}"/>
    <cellStyle name="20% - Ênfase1 2" xfId="24" xr:uid="{10827018-D455-495F-B128-79C9C9D5214B}"/>
    <cellStyle name="20% - Ênfase1 2 2" xfId="25" xr:uid="{9D8D9602-E7C7-4168-B3D3-D39DC1D297AE}"/>
    <cellStyle name="20% - Ênfase1 3" xfId="26" xr:uid="{211EC087-74A8-4798-A713-1E8A0F3BBBEC}"/>
    <cellStyle name="20% - Ênfase1 3 2" xfId="27" xr:uid="{C46D3CC9-A6AC-4768-88AD-0A4CF5470C81}"/>
    <cellStyle name="20% - Ênfase2 2" xfId="28" xr:uid="{7DDA2F77-88F3-4478-AAB2-8DBBDB89256F}"/>
    <cellStyle name="20% - Ênfase2 2 2" xfId="29" xr:uid="{A8E720B5-8BF3-43B2-839A-4466DA2C9C32}"/>
    <cellStyle name="20% - Ênfase2 3" xfId="30" xr:uid="{835F5305-8B39-4773-895B-90303F1142A2}"/>
    <cellStyle name="20% - Ênfase2 3 2" xfId="31" xr:uid="{CBFA0245-5D8C-4AD4-B07D-457991FA66DC}"/>
    <cellStyle name="20% - Ênfase3 2" xfId="32" xr:uid="{9833EC32-7999-4594-92E5-11C24B240245}"/>
    <cellStyle name="20% - Ênfase3 2 2" xfId="33" xr:uid="{B8D9B61A-9503-4198-824B-D23992E02A03}"/>
    <cellStyle name="20% - Ênfase3 3" xfId="34" xr:uid="{BB7141CC-4786-4079-A744-2762FD7A9E94}"/>
    <cellStyle name="20% - Ênfase3 3 2" xfId="35" xr:uid="{65847723-69BC-42E2-92F6-BC4B04C69ED9}"/>
    <cellStyle name="20% - Ênfase4 2" xfId="36" xr:uid="{AA06CF96-8586-4572-AA74-A701960E258A}"/>
    <cellStyle name="20% - Ênfase4 2 2" xfId="37" xr:uid="{3EA6D822-799E-43A3-A6F7-451746B2F531}"/>
    <cellStyle name="20% - Ênfase4 3" xfId="38" xr:uid="{FCE5C444-4EED-4142-A1EE-1BE425E014BE}"/>
    <cellStyle name="20% - Ênfase4 3 2" xfId="39" xr:uid="{6CCE95A2-A7F5-40F8-A24A-8C897A5B6FA4}"/>
    <cellStyle name="20% - Ênfase5 2" xfId="40" xr:uid="{8BF20874-E548-4091-958C-26DE7884B08A}"/>
    <cellStyle name="20% - Ênfase5 2 2" xfId="41" xr:uid="{2E56C374-9A6E-488B-BAD0-47E3264D84D2}"/>
    <cellStyle name="20% - Ênfase5 3" xfId="42" xr:uid="{7AA94471-7830-48A2-A4CE-AD78C19A99E2}"/>
    <cellStyle name="20% - Ênfase5 3 2" xfId="43" xr:uid="{151635B9-1560-44B8-B379-F3E90FDE0204}"/>
    <cellStyle name="20% - Ênfase6 2" xfId="44" xr:uid="{01616ADD-A158-4B83-B75D-E996F1C5623B}"/>
    <cellStyle name="20% - Ênfase6 2 2" xfId="45" xr:uid="{AB72C8D9-EC8A-49C4-BB68-61B56913EB1C}"/>
    <cellStyle name="20% - Ênfase6 3" xfId="46" xr:uid="{B7B96989-8D69-4350-8C80-50475AA9B982}"/>
    <cellStyle name="20% - Ênfase6 3 2" xfId="47" xr:uid="{792645AC-7AD8-4F1F-8438-3F1D8BD9A40C}"/>
    <cellStyle name="40% - Accent1 2" xfId="49" xr:uid="{4B58E028-4424-4D96-BCDB-A1B7DC6C3EB2}"/>
    <cellStyle name="40% - Accent1 2 2" xfId="50" xr:uid="{75F3C568-76EE-4725-819A-0A736EEDDD07}"/>
    <cellStyle name="40% - Accent1 3" xfId="48" xr:uid="{0D2ACE10-1B57-4314-B889-596F21299AA6}"/>
    <cellStyle name="40% - Accent2 2" xfId="52" xr:uid="{33931F7D-E550-427D-9B49-D2127AE75C03}"/>
    <cellStyle name="40% - Accent2 2 2" xfId="53" xr:uid="{7FF8B36B-07BE-4C39-A587-3C4520884CE4}"/>
    <cellStyle name="40% - Accent2 3" xfId="51" xr:uid="{4E134F39-896A-4188-B003-DA9BFDF56110}"/>
    <cellStyle name="40% - Accent3 2" xfId="55" xr:uid="{C3C6196D-7A15-475D-ADD6-4633A1172C57}"/>
    <cellStyle name="40% - Accent3 2 2" xfId="56" xr:uid="{A161F8B7-1B15-4F2F-8724-74D836065118}"/>
    <cellStyle name="40% - Accent3 3" xfId="54" xr:uid="{F1F120B2-8B7F-4C2C-A3C0-BCD0CB17C456}"/>
    <cellStyle name="40% - Accent4 2" xfId="58" xr:uid="{8DEA1965-61A5-4821-A5D5-1E45890CF26F}"/>
    <cellStyle name="40% - Accent4 2 2" xfId="59" xr:uid="{1FB672DB-7F59-472C-83F9-64BDB99D6785}"/>
    <cellStyle name="40% - Accent4 3" xfId="57" xr:uid="{6CBEEBB6-4231-44BF-98D1-70ECF9C1F214}"/>
    <cellStyle name="40% - Accent5 2" xfId="61" xr:uid="{2F679DF2-6899-48DD-BE29-108525435E7B}"/>
    <cellStyle name="40% - Accent5 2 2" xfId="62" xr:uid="{D222C130-F1EA-4DDA-8DB0-1C8E77DCC911}"/>
    <cellStyle name="40% - Accent5 3" xfId="60" xr:uid="{263A4912-8B34-4C18-8CAE-9E532682DB87}"/>
    <cellStyle name="40% - Accent6 2" xfId="64" xr:uid="{8E252ECF-F78D-49CB-989F-7239AA4312E4}"/>
    <cellStyle name="40% - Accent6 2 2" xfId="65" xr:uid="{C3F45F58-294C-4199-8EC1-8657AB57A033}"/>
    <cellStyle name="40% - Accent6 3" xfId="63" xr:uid="{20E76DF0-30D5-4DBE-BA57-D6E208E6F102}"/>
    <cellStyle name="40% - Ênfase1 2" xfId="66" xr:uid="{C3737337-7077-4EE7-B76A-7E668209D755}"/>
    <cellStyle name="40% - Ênfase1 2 2" xfId="67" xr:uid="{7F878CCB-636A-4C39-A3B8-EAEFD66DBD41}"/>
    <cellStyle name="40% - Ênfase1 3" xfId="68" xr:uid="{A8013C7C-20BF-487F-971C-2BAB966849A0}"/>
    <cellStyle name="40% - Ênfase1 3 2" xfId="69" xr:uid="{976DAAC0-504C-4769-BFD6-402C64D18172}"/>
    <cellStyle name="40% - Ênfase2 2" xfId="70" xr:uid="{AA38EFCE-0991-4BD6-9909-547C712BC740}"/>
    <cellStyle name="40% - Ênfase2 2 2" xfId="71" xr:uid="{581CD32C-FB34-4A27-A89B-64082B3DB2D6}"/>
    <cellStyle name="40% - Ênfase2 3" xfId="72" xr:uid="{B54F2EE2-AC0D-42C2-B9FB-798B88104DA5}"/>
    <cellStyle name="40% - Ênfase2 3 2" xfId="73" xr:uid="{7665C03B-0BFC-48B2-9EDE-4B8C79AA82B1}"/>
    <cellStyle name="40% - Ênfase3 2" xfId="74" xr:uid="{98229261-4026-4CA4-B83B-4A8CFC9D7EBD}"/>
    <cellStyle name="40% - Ênfase3 2 2" xfId="75" xr:uid="{BFE44694-F9D8-44E1-901E-3CB8D3C90A9D}"/>
    <cellStyle name="40% - Ênfase3 3" xfId="76" xr:uid="{AD0D6A27-8755-453F-96A1-DF7D3652EF37}"/>
    <cellStyle name="40% - Ênfase3 3 2" xfId="77" xr:uid="{3D3CE1E5-58D1-4946-966B-96EA92CB02C2}"/>
    <cellStyle name="40% - Ênfase4 2" xfId="78" xr:uid="{A7C35E6D-78DE-496D-B9F4-7A490CDCD89B}"/>
    <cellStyle name="40% - Ênfase4 2 2" xfId="79" xr:uid="{EC1AD587-AF2B-438E-A38D-FE8044F1F5A4}"/>
    <cellStyle name="40% - Ênfase4 3" xfId="80" xr:uid="{2FE8714D-FB1A-4DF8-944C-76B96DDB2227}"/>
    <cellStyle name="40% - Ênfase4 3 2" xfId="81" xr:uid="{47CABA5D-2E41-4D48-9046-530C14932EA9}"/>
    <cellStyle name="40% - Ênfase5 2" xfId="82" xr:uid="{A2389F4D-0251-46C9-BA06-D1926FDF3378}"/>
    <cellStyle name="40% - Ênfase5 2 2" xfId="83" xr:uid="{07B919FC-A6C6-42B8-BD09-6CECEE9C4BE4}"/>
    <cellStyle name="40% - Ênfase5 3" xfId="84" xr:uid="{E4ED2923-024F-4F89-B001-D893850C289D}"/>
    <cellStyle name="40% - Ênfase5 3 2" xfId="85" xr:uid="{93B33CAC-B1C1-41DC-A234-0F58D5D794AA}"/>
    <cellStyle name="40% - Ênfase6 2" xfId="86" xr:uid="{69D34E8A-EE46-4125-BD4D-2428D5F967F1}"/>
    <cellStyle name="40% - Ênfase6 2 2" xfId="87" xr:uid="{C7783286-DA7C-46EF-866E-A7C537829C6C}"/>
    <cellStyle name="40% - Ênfase6 3" xfId="88" xr:uid="{0843864F-B038-4075-93A0-A28AE0DFF753}"/>
    <cellStyle name="40% - Ênfase6 3 2" xfId="89" xr:uid="{18F6DAFE-111B-47C3-9C84-0BC4E0CA813B}"/>
    <cellStyle name="60% - Accent1 2" xfId="91" xr:uid="{F8AFEB96-D0DC-4AAF-A501-593B6D4AD626}"/>
    <cellStyle name="60% - Accent1 2 2" xfId="92" xr:uid="{CC18F0EA-D362-4142-9534-6F6A04D7FD93}"/>
    <cellStyle name="60% - Accent1 3" xfId="90" xr:uid="{D3C0D37B-0397-4E74-9F3B-9A3FB744AD4C}"/>
    <cellStyle name="60% - Accent2 2" xfId="94" xr:uid="{832F9FFC-45BA-4F40-ACEF-4DE7475F24D4}"/>
    <cellStyle name="60% - Accent2 2 2" xfId="95" xr:uid="{7F62D9B6-DAF3-4FCA-8D80-F516BE936D1E}"/>
    <cellStyle name="60% - Accent2 3" xfId="93" xr:uid="{63D0DA64-C017-4BF6-BE6A-653B62C30749}"/>
    <cellStyle name="60% - Accent3 2" xfId="97" xr:uid="{2A1BD3B4-A130-40AB-A721-E2ACAF2D87D4}"/>
    <cellStyle name="60% - Accent3 2 2" xfId="98" xr:uid="{D548A94B-198A-41A5-B8E4-70F31FD2CA23}"/>
    <cellStyle name="60% - Accent3 3" xfId="96" xr:uid="{B487F7CF-EEEB-4CD9-A519-7553C4B05A4C}"/>
    <cellStyle name="60% - Accent4 2" xfId="100" xr:uid="{83D2C97A-46DD-4691-A26A-F9BB40D2E45A}"/>
    <cellStyle name="60% - Accent4 2 2" xfId="101" xr:uid="{B4498761-D5E1-4F6A-960A-83A0BF0AF53E}"/>
    <cellStyle name="60% - Accent4 3" xfId="99" xr:uid="{776482A7-C315-42C2-810C-EA6518D6453B}"/>
    <cellStyle name="60% - Accent5 2" xfId="103" xr:uid="{1B4C14EB-65D9-40F2-98AF-5B357AA38368}"/>
    <cellStyle name="60% - Accent5 2 2" xfId="104" xr:uid="{284F8DBE-8D07-42F3-A227-0EA4393C8B6F}"/>
    <cellStyle name="60% - Accent5 3" xfId="102" xr:uid="{BF651EEB-A56F-40A0-AF62-15DDFC499DB8}"/>
    <cellStyle name="60% - Accent6 2" xfId="106" xr:uid="{7DFC3CA2-DD85-446F-AEF6-5B48800AC9E4}"/>
    <cellStyle name="60% - Accent6 2 2" xfId="107" xr:uid="{A0016D26-FFA8-4030-B532-A035446F7EC6}"/>
    <cellStyle name="60% - Accent6 3" xfId="105" xr:uid="{89CEA987-D1F3-46B7-B4F5-5DC483946339}"/>
    <cellStyle name="60% - Ênfase1 2" xfId="108" xr:uid="{D4952A18-A434-4070-BA99-C962DE44DC35}"/>
    <cellStyle name="60% - Ênfase1 2 2" xfId="109" xr:uid="{2BEF47F1-8CB9-4FC1-9C86-B7309176ED5D}"/>
    <cellStyle name="60% - Ênfase1 3" xfId="110" xr:uid="{1D4A525F-ED29-45C0-9938-FDF0323886BE}"/>
    <cellStyle name="60% - Ênfase1 3 2" xfId="111" xr:uid="{03273142-9D61-4779-A486-41098D2407BC}"/>
    <cellStyle name="60% - Ênfase2 2" xfId="112" xr:uid="{DC042519-B789-4A6E-B286-9EAFB2D72DF2}"/>
    <cellStyle name="60% - Ênfase2 2 2" xfId="113" xr:uid="{44E02B26-E017-4880-AFAC-8231DE6DE3C6}"/>
    <cellStyle name="60% - Ênfase2 3" xfId="114" xr:uid="{BBAA2A70-5B21-4733-9A92-AFC9D0A1446F}"/>
    <cellStyle name="60% - Ênfase2 3 2" xfId="115" xr:uid="{B943BA25-D83B-4502-A569-370290BEDC25}"/>
    <cellStyle name="60% - Ênfase3 2" xfId="116" xr:uid="{C9B94979-8C2F-4D58-9B70-F595A7266945}"/>
    <cellStyle name="60% - Ênfase3 2 2" xfId="117" xr:uid="{DF4F558C-9037-41F5-BF25-86F34A96CFBD}"/>
    <cellStyle name="60% - Ênfase3 3" xfId="118" xr:uid="{3F05C54D-457F-4F25-A436-C2610E0CDEC3}"/>
    <cellStyle name="60% - Ênfase3 3 2" xfId="119" xr:uid="{69B60D97-219D-4676-98C0-2361BBD2FFFD}"/>
    <cellStyle name="60% - Ênfase4 2" xfId="120" xr:uid="{E7AF26FA-F3CD-42CC-87AC-097615F6EABE}"/>
    <cellStyle name="60% - Ênfase4 2 2" xfId="121" xr:uid="{99FA9CFC-4CED-4CB4-B399-D25BA0B385DB}"/>
    <cellStyle name="60% - Ênfase4 3" xfId="122" xr:uid="{60D378BD-8130-41FD-9587-C0E7A96C5042}"/>
    <cellStyle name="60% - Ênfase4 3 2" xfId="123" xr:uid="{32490BD4-E5FA-4D91-8335-DE98CEEC68A7}"/>
    <cellStyle name="60% - Ênfase5 2" xfId="124" xr:uid="{DE371BB8-1A1F-40BF-9EE5-EAE57FAF4CBF}"/>
    <cellStyle name="60% - Ênfase5 2 2" xfId="125" xr:uid="{51098D48-AE08-4F42-8E28-25724CB46558}"/>
    <cellStyle name="60% - Ênfase5 3" xfId="126" xr:uid="{419132FE-5C54-4266-A94F-91F363AA0013}"/>
    <cellStyle name="60% - Ênfase5 3 2" xfId="127" xr:uid="{617FBA38-12B0-4742-A930-E434A29AB35D}"/>
    <cellStyle name="60% - Ênfase6 2" xfId="128" xr:uid="{A1CF4981-5F38-491D-8CC6-965BF0050B90}"/>
    <cellStyle name="60% - Ênfase6 2 2" xfId="129" xr:uid="{61FD03FC-9F05-47DC-A75D-ABBCD64009D4}"/>
    <cellStyle name="60% - Ênfase6 3" xfId="130" xr:uid="{01D11725-3D5E-4D53-BAA9-144F4497438A}"/>
    <cellStyle name="60% - Ênfase6 3 2" xfId="131" xr:uid="{FBF0EA4C-9B43-45AD-A8CE-013997401242}"/>
    <cellStyle name="Accent" xfId="132" xr:uid="{87F61650-61BB-44A9-9957-6C39DD52903E}"/>
    <cellStyle name="Accent 1" xfId="133" xr:uid="{E29BD8FA-EA36-4F4E-A37A-18A8DD6AC43E}"/>
    <cellStyle name="Accent 1 1" xfId="134" xr:uid="{BCDE9810-07E0-4C9C-90CE-DB2862E556CA}"/>
    <cellStyle name="Accent 1 2" xfId="135" xr:uid="{6C5697DF-E444-49FC-BD43-F63B9311D6DE}"/>
    <cellStyle name="Accent 2" xfId="136" xr:uid="{2BBC8288-DEA7-4557-842D-45CCC447C19E}"/>
    <cellStyle name="Accent 2 1" xfId="137" xr:uid="{D0CEC2B9-C52F-4795-BBF3-EFBFBE7F11ED}"/>
    <cellStyle name="Accent 2 2" xfId="138" xr:uid="{1CD16A5A-3BB2-4517-BCED-D38402FA5415}"/>
    <cellStyle name="Accent 3" xfId="139" xr:uid="{8E161402-54B6-4E23-A3B4-F4DAC4437440}"/>
    <cellStyle name="Accent 3 1" xfId="140" xr:uid="{91EF06DA-EF5D-43A7-AD6C-BEC47BC96D43}"/>
    <cellStyle name="Accent 3 2" xfId="141" xr:uid="{C21E3A8C-CFD4-422C-9433-84AB4EA3BD29}"/>
    <cellStyle name="Accent 4" xfId="142" xr:uid="{913218B5-914C-493F-83A3-18070EA98FA1}"/>
    <cellStyle name="Accent 4 2" xfId="143" xr:uid="{830A92D9-F708-4CC3-A29C-96A97641F84F}"/>
    <cellStyle name="Accent1 2" xfId="145" xr:uid="{0703B3D5-459A-4AB5-9ED4-FA790BC14CB2}"/>
    <cellStyle name="Accent1 2 2" xfId="146" xr:uid="{8D435101-BBA6-4E7B-9618-9EC6CB9A2A47}"/>
    <cellStyle name="Accent1 3" xfId="144" xr:uid="{A8C8EF33-7887-4C9F-9199-708041784A0A}"/>
    <cellStyle name="Accent2 2" xfId="148" xr:uid="{8DB71210-0373-4E68-BF3D-3D4DA33CCF40}"/>
    <cellStyle name="Accent2 2 2" xfId="149" xr:uid="{0EF21678-893B-4605-A598-F123F481C7C1}"/>
    <cellStyle name="Accent2 3" xfId="147" xr:uid="{A8D09EEB-CFAC-4894-8306-0364699E28B3}"/>
    <cellStyle name="Accent3 2" xfId="151" xr:uid="{709DE3D8-5EDF-4551-B824-695774306992}"/>
    <cellStyle name="Accent3 2 2" xfId="152" xr:uid="{9B98E616-0F74-4CCA-AB7F-981B8A874146}"/>
    <cellStyle name="Accent3 3" xfId="150" xr:uid="{DAAA3C39-D50D-4BE2-A245-FAF75B61E246}"/>
    <cellStyle name="Accent4 2" xfId="154" xr:uid="{AA22F29F-39A2-4CD0-9EF3-5CFBFA836EA0}"/>
    <cellStyle name="Accent4 2 2" xfId="155" xr:uid="{680FD091-DB07-4DCD-9178-6A3CF17BE67D}"/>
    <cellStyle name="Accent4 3" xfId="153" xr:uid="{0C9FEE9C-FFA7-4DD8-B23D-25D92A619E19}"/>
    <cellStyle name="Accent5 2" xfId="157" xr:uid="{F9DA587A-7A26-462D-95C8-902A6C7A9262}"/>
    <cellStyle name="Accent5 2 2" xfId="158" xr:uid="{D731E5A1-C5B5-4031-814A-179577EA7883}"/>
    <cellStyle name="Accent5 3" xfId="156" xr:uid="{82BB1FFC-DAD4-4810-9B43-DA862BC0CE9F}"/>
    <cellStyle name="Accent6 2" xfId="160" xr:uid="{AB06EE7D-3B6C-4A47-90CB-A44DC1D918CA}"/>
    <cellStyle name="Accent6 2 2" xfId="161" xr:uid="{76EFEDBD-2C6C-44A7-A300-BE1AF4C9DE5B}"/>
    <cellStyle name="Accent6 3" xfId="159" xr:uid="{0031B4CF-0588-4320-B6FD-A89A1B8EBFFD}"/>
    <cellStyle name="Bad 1" xfId="163" xr:uid="{168BF246-F676-46D4-BBD3-3CC8A4227F9F}"/>
    <cellStyle name="Bad 2" xfId="164" xr:uid="{1FB0C50F-F02D-4ABA-9EF8-102320DC54A4}"/>
    <cellStyle name="Bad 2 2" xfId="165" xr:uid="{D726F58E-F3F3-47E1-A860-83DE4B1CE445}"/>
    <cellStyle name="Bad 3" xfId="166" xr:uid="{F6FA5388-62F6-42BB-9B82-70755955C4EC}"/>
    <cellStyle name="Bad 4" xfId="162" xr:uid="{9C09C037-4DAF-408A-AF86-6055D3DC9BED}"/>
    <cellStyle name="Bom 2" xfId="167" xr:uid="{A03BE1E2-52E5-4E6E-A329-1FCF8CF06FE5}"/>
    <cellStyle name="Bom 2 2" xfId="168" xr:uid="{E51C367F-9AB4-4509-A08D-089A0A65273F}"/>
    <cellStyle name="Bom 3" xfId="169" xr:uid="{464B5F90-A165-4558-82EC-B62FA48E741D}"/>
    <cellStyle name="Bom 3 2" xfId="170" xr:uid="{5722D04B-5038-40B7-A3D1-28E077580DBA}"/>
    <cellStyle name="Calculation 2" xfId="172" xr:uid="{5DC70C70-B088-490B-93E3-E85F5EAB22DA}"/>
    <cellStyle name="Calculation 2 2" xfId="173" xr:uid="{C1A3CBC1-385F-490C-A393-49757C006D05}"/>
    <cellStyle name="Calculation 3" xfId="171" xr:uid="{BD248160-FCF1-4A7E-9B38-B1FB69A20CB8}"/>
    <cellStyle name="Cálculo 2" xfId="174" xr:uid="{8AEC39D6-624B-4EC4-840E-3943681F4B4D}"/>
    <cellStyle name="Cálculo 2 2" xfId="175" xr:uid="{E963FBBB-C8AB-4EDA-8CE1-D9170D2B8636}"/>
    <cellStyle name="Cálculo 3" xfId="176" xr:uid="{5343C607-6054-438B-AC0B-9B82F146BEAB}"/>
    <cellStyle name="Cálculo 3 2" xfId="177" xr:uid="{CC6C196B-EB79-45B7-B394-FEFF5A62DEFF}"/>
    <cellStyle name="Canto da tabela dinâmica" xfId="178" xr:uid="{05AE75F6-E276-4971-93F7-CCDBA8509B2C}"/>
    <cellStyle name="Canto da tabela dinâmica 2" xfId="179" xr:uid="{D58F706A-8094-4000-9E0A-A7278732E246}"/>
    <cellStyle name="Célula de Verificação 2" xfId="180" xr:uid="{2538E486-1DB1-4A49-9AFA-A40FBC3AD06E}"/>
    <cellStyle name="Célula de Verificação 2 2" xfId="181" xr:uid="{EC6A8858-C2AA-423F-8AB9-6F33AE6084F9}"/>
    <cellStyle name="Célula de Verificação 3" xfId="182" xr:uid="{C58189A8-359F-4239-B54C-329663517FB3}"/>
    <cellStyle name="Célula de Verificação 3 2" xfId="183" xr:uid="{80C231D5-20C1-4165-A65B-12F7A1ADC358}"/>
    <cellStyle name="Célula Vinculada 2" xfId="184" xr:uid="{E11146B9-98F5-42A3-91F6-99BB94F757F8}"/>
    <cellStyle name="Célula Vinculada 2 2" xfId="185" xr:uid="{FC3AA577-2E15-41B9-A64D-5F680EA30E86}"/>
    <cellStyle name="Célula Vinculada 3" xfId="186" xr:uid="{58FBF7D0-B786-43F1-BDB6-B7103F33A3FB}"/>
    <cellStyle name="Célula Vinculada 3 2" xfId="187" xr:uid="{BBFD3954-D89B-400A-803B-110A5AC2DF1D}"/>
    <cellStyle name="Check Cell 2" xfId="189" xr:uid="{3472DDF1-EE80-42E0-91E0-2364AA529C8A}"/>
    <cellStyle name="Check Cell 2 2" xfId="190" xr:uid="{CCE3B84E-9FB8-4202-A4DF-BBAD7B91E9BD}"/>
    <cellStyle name="Check Cell 3" xfId="188" xr:uid="{B3F389CF-8DD5-4CD2-A3D5-690BAB3A1B60}"/>
    <cellStyle name="Comma" xfId="1" builtinId="3"/>
    <cellStyle name="Comma 2" xfId="191" xr:uid="{727CCB83-9A1A-4B49-A135-61EF4A1B1E7F}"/>
    <cellStyle name="Comma 2 2" xfId="192" xr:uid="{B297F857-066E-4CB5-8EDC-B3B38FB4A050}"/>
    <cellStyle name="Comma 2 2 2" xfId="193" xr:uid="{08B8DA11-1163-44C6-A5B9-25A4F597C714}"/>
    <cellStyle name="Comma 2 2 3" xfId="194" xr:uid="{9C40C5DB-D663-489D-8E08-93E58E8E5B4F}"/>
    <cellStyle name="Comma 2 2 4" xfId="195" xr:uid="{439ACC5C-075C-46CD-8C71-F16948757C48}"/>
    <cellStyle name="Comma 2 3" xfId="196" xr:uid="{5DEB6655-912B-4C7F-86CF-A2BBA71C71B0}"/>
    <cellStyle name="Comma 2 4" xfId="197" xr:uid="{7F55CF6A-61BA-42AF-8FC0-FE142A85E832}"/>
    <cellStyle name="Comma 3" xfId="198" xr:uid="{271BFCAF-BA41-41B3-B347-3B14767BB053}"/>
    <cellStyle name="Comma 3 2" xfId="199" xr:uid="{BEF73437-53F3-49AC-A457-76E163BEB99B}"/>
    <cellStyle name="Comma 3 2 2" xfId="200" xr:uid="{B7DE288F-E3FB-49C6-BF78-8BA0C5DD0EB2}"/>
    <cellStyle name="Comma 3 2 3" xfId="201" xr:uid="{67EDC286-EE8A-473D-84E0-CF6E1C7D3161}"/>
    <cellStyle name="Comma 3 2 4" xfId="202" xr:uid="{ED32922B-446E-46BF-ABE8-410059C52241}"/>
    <cellStyle name="Comma 3 3" xfId="203" xr:uid="{314D2E71-2965-4985-9D6C-72865D1703C8}"/>
    <cellStyle name="Comma 3 4" xfId="204" xr:uid="{16BFB494-620B-4761-B263-37EE14928B33}"/>
    <cellStyle name="Comma 4" xfId="510" xr:uid="{B7A6BB8A-1565-4565-83C1-70EA04E06013}"/>
    <cellStyle name="Currency" xfId="539" builtinId="4"/>
    <cellStyle name="Ênfase1 2" xfId="205" xr:uid="{232659FD-8FDB-45B3-82A7-00B84D603C35}"/>
    <cellStyle name="Ênfase1 2 2" xfId="206" xr:uid="{B4A48B41-FE9D-407E-8D14-81444B11832C}"/>
    <cellStyle name="Ênfase1 3" xfId="207" xr:uid="{6965DC7E-9ADE-433A-8FC5-190619CCFB98}"/>
    <cellStyle name="Ênfase1 3 2" xfId="208" xr:uid="{14D01035-5B99-4672-AC65-9AAEA88B63D7}"/>
    <cellStyle name="Ênfase2 2" xfId="209" xr:uid="{46CE27CB-639B-460E-9430-BAAF076EF1CB}"/>
    <cellStyle name="Ênfase2 2 2" xfId="210" xr:uid="{EBC18D1A-3C94-42C6-B45D-05405680526F}"/>
    <cellStyle name="Ênfase2 3" xfId="211" xr:uid="{4761F194-7874-4C45-893B-44077029943C}"/>
    <cellStyle name="Ênfase2 3 2" xfId="212" xr:uid="{9DFCFF9B-D30F-492A-A489-6DD348A65883}"/>
    <cellStyle name="Ênfase3 2" xfId="213" xr:uid="{61037A39-36A7-46D5-B1B8-FD40953F0FF2}"/>
    <cellStyle name="Ênfase3 2 2" xfId="214" xr:uid="{E1D1F2D5-B4A1-49AA-AB4F-26D861296006}"/>
    <cellStyle name="Ênfase3 3" xfId="215" xr:uid="{DC3E2537-31BD-4C38-94E4-78C8936F8B63}"/>
    <cellStyle name="Ênfase3 3 2" xfId="216" xr:uid="{F5675E6F-784C-4D8F-BBEC-AFA7F907C88B}"/>
    <cellStyle name="Ênfase4 2" xfId="217" xr:uid="{4BB62404-0657-49E4-B275-76DF64C711C2}"/>
    <cellStyle name="Ênfase4 2 2" xfId="218" xr:uid="{C3539963-269F-44EC-9AA5-9B66532C792A}"/>
    <cellStyle name="Ênfase4 3" xfId="219" xr:uid="{DCD8BC2B-F818-4E31-8B5D-0D50CB790201}"/>
    <cellStyle name="Ênfase4 3 2" xfId="220" xr:uid="{0C63CD82-99BC-4200-90C4-89722A248B68}"/>
    <cellStyle name="Ênfase5 2" xfId="221" xr:uid="{61588CD5-47EA-4CDE-B151-9D1CBDA9062A}"/>
    <cellStyle name="Ênfase5 2 2" xfId="222" xr:uid="{A790D5A6-75ED-457A-A260-B841A59CBB5D}"/>
    <cellStyle name="Ênfase5 3" xfId="223" xr:uid="{0B07859D-7913-42A6-A51D-1581774C2A65}"/>
    <cellStyle name="Ênfase5 3 2" xfId="224" xr:uid="{C6EB635D-6E26-4931-896E-CED6E8A66D7C}"/>
    <cellStyle name="Ênfase6 2" xfId="225" xr:uid="{FC5498F3-FD47-4D86-9871-AAEA6F97FFB5}"/>
    <cellStyle name="Ênfase6 2 2" xfId="226" xr:uid="{4EB9BDDB-0467-4829-B1DE-E1ACCB97B4CC}"/>
    <cellStyle name="Ênfase6 3" xfId="227" xr:uid="{7552152A-1418-47F8-81EE-0A3F3A37C120}"/>
    <cellStyle name="Ênfase6 3 2" xfId="228" xr:uid="{97469924-B0D3-423F-9802-3FEAF54C8ECC}"/>
    <cellStyle name="Entrada 2" xfId="229" xr:uid="{5E3F069A-D7EF-4F7F-AC5B-E8E88E30699A}"/>
    <cellStyle name="Entrada 2 2" xfId="230" xr:uid="{286AF7F0-E9C5-42D2-9B02-6AE60BB4F277}"/>
    <cellStyle name="Entrada 3" xfId="231" xr:uid="{2CC43C06-39E6-4E09-AC65-33E06C7149FB}"/>
    <cellStyle name="Entrada 3 2" xfId="232" xr:uid="{9526CFCC-7464-4472-ABB4-65B6196A002F}"/>
    <cellStyle name="Error" xfId="233" xr:uid="{2EF834F0-B585-43EC-A582-94EB17A15B09}"/>
    <cellStyle name="Error 1" xfId="234" xr:uid="{87A0D16F-D9A8-459F-A3E0-0F45548BEAB3}"/>
    <cellStyle name="Error 2" xfId="235" xr:uid="{BAD73EDF-91B0-433B-8D6A-A164CC449A5B}"/>
    <cellStyle name="Excel_BuiltIn_Comma" xfId="236" xr:uid="{94967D75-F707-42FF-AB84-FC9CFD32146F}"/>
    <cellStyle name="Explanatory Text 2" xfId="238" xr:uid="{384EE539-EDCA-48FA-981A-A21D4C1A405C}"/>
    <cellStyle name="Explanatory Text 2 2" xfId="239" xr:uid="{3D957095-7045-4D9F-B3CB-9AD7BDBD509D}"/>
    <cellStyle name="Explanatory Text 3" xfId="237" xr:uid="{05A67FFD-9E0A-48F2-B3F4-869FA668BDB3}"/>
    <cellStyle name="Footnote" xfId="240" xr:uid="{8864B775-86E4-47CD-AE8C-8C54DC1B45C5}"/>
    <cellStyle name="Footnote 1" xfId="241" xr:uid="{C31475F9-159B-478E-B35E-3CAEC2ABA2A5}"/>
    <cellStyle name="Footnote 2" xfId="242" xr:uid="{6EA040B8-82EE-4EBE-BA69-0CD7DBCC9DD1}"/>
    <cellStyle name="Good 1" xfId="244" xr:uid="{C2E8215C-4B9E-4520-87A4-A5CB430D00FB}"/>
    <cellStyle name="Good 2" xfId="245" xr:uid="{E095B662-CED6-4F71-8F88-69EC4E56867C}"/>
    <cellStyle name="Good 2 2" xfId="246" xr:uid="{454D4DBB-B627-4F10-91F0-888234BA098D}"/>
    <cellStyle name="Good 3" xfId="247" xr:uid="{F09F4267-BCCB-4F85-851E-540619639056}"/>
    <cellStyle name="Good 4" xfId="243" xr:uid="{A4FC4ED8-EE00-473E-99A9-3091C0182AE3}"/>
    <cellStyle name="Heading" xfId="248" xr:uid="{FA01EB8A-0892-45C3-AD14-400A5C34672B}"/>
    <cellStyle name="Heading (user)" xfId="249" xr:uid="{656A3BC7-05D8-4A40-8D25-7FC29A6A0849}"/>
    <cellStyle name="Heading (user) (user)" xfId="250" xr:uid="{858E6160-BADA-436E-802C-72C759AA720C}"/>
    <cellStyle name="Heading (user) (user) 2" xfId="251" xr:uid="{E55E1C8E-57E7-427D-B1E9-1EE985342120}"/>
    <cellStyle name="Heading (user) 2" xfId="252" xr:uid="{9E0F625D-E510-4ECB-9A25-96B7AD545868}"/>
    <cellStyle name="Heading (user) 3" xfId="253" xr:uid="{BAE5C86A-8173-48DE-8478-D3C3EAF07A70}"/>
    <cellStyle name="Heading (user) 4" xfId="254" xr:uid="{9A6C54FA-58B2-48F9-A825-178FC3853F91}"/>
    <cellStyle name="Heading 1" xfId="3" builtinId="16"/>
    <cellStyle name="Heading 1 1" xfId="256" xr:uid="{83E7EF14-23C8-4A86-942A-7DCB49189832}"/>
    <cellStyle name="Heading 1 2" xfId="257" xr:uid="{E4307954-8008-4F7F-AA5D-8013F673F305}"/>
    <cellStyle name="Heading 1 2 2" xfId="258" xr:uid="{A16B2F5A-CADC-4D62-A7D5-8366B70E70ED}"/>
    <cellStyle name="Heading 1 3" xfId="259" xr:uid="{7AADB9F4-475C-42C6-8C15-840FEF2EFBDB}"/>
    <cellStyle name="Heading 1 4" xfId="255" xr:uid="{8C01A795-0D44-4980-B725-9633078A018F}"/>
    <cellStyle name="Heading 2" xfId="4" builtinId="17"/>
    <cellStyle name="Heading 2 1" xfId="261" xr:uid="{0407090C-C310-43CC-98DC-E65139C3AB22}"/>
    <cellStyle name="Heading 2 2" xfId="262" xr:uid="{36903EA8-D9D8-47DF-B4A1-16BF87A4EBE9}"/>
    <cellStyle name="Heading 2 2 2" xfId="263" xr:uid="{3F513D2F-A111-4A64-B60A-193312DA5C04}"/>
    <cellStyle name="Heading 2 3" xfId="264" xr:uid="{3A77A406-1092-464D-94BA-246FF4FF6FEF}"/>
    <cellStyle name="Heading 2 4" xfId="260" xr:uid="{9BC171CB-46CB-4646-8C35-732D3C89B8D0}"/>
    <cellStyle name="Heading 3 2" xfId="266" xr:uid="{C83ACCB0-FA3A-409B-90C1-74A79A1C62C3}"/>
    <cellStyle name="Heading 3 2 2" xfId="267" xr:uid="{24D1BA5F-99F1-4AB1-B329-215998436A65}"/>
    <cellStyle name="Heading 3 3" xfId="268" xr:uid="{67CADA03-05E7-4AC7-BCEB-3A79CE77CE71}"/>
    <cellStyle name="Heading 3 4" xfId="265" xr:uid="{7886F4D2-42DF-4239-BFB1-C85C4E1897A0}"/>
    <cellStyle name="Heading 4 2" xfId="270" xr:uid="{C3288A6E-809C-4668-BBDB-073216CA4D1A}"/>
    <cellStyle name="Heading 4 2 2" xfId="271" xr:uid="{64482559-C1F5-4EE5-BD21-E357F87119D3}"/>
    <cellStyle name="Heading 4 3" xfId="269" xr:uid="{05DD356C-6786-4764-B717-821F9A2FF767}"/>
    <cellStyle name="Heading1" xfId="272" xr:uid="{8C928221-DB1A-454C-9FD6-C537553AB734}"/>
    <cellStyle name="Heading1 (user)" xfId="273" xr:uid="{60C81BB0-9805-4118-B4DE-859371C1F98F}"/>
    <cellStyle name="Hyperlink" xfId="5" builtinId="8"/>
    <cellStyle name="Incorreto 2" xfId="274" xr:uid="{1F0603C7-37A3-4B0E-8E98-CC340A05A70A}"/>
    <cellStyle name="Incorreto 2 2" xfId="275" xr:uid="{7DCD5177-E2C8-4E07-A3F3-592AC2034204}"/>
    <cellStyle name="Input 2" xfId="277" xr:uid="{60659F79-6F94-49FB-B093-83780B21DF1D}"/>
    <cellStyle name="Input 2 2" xfId="278" xr:uid="{84AF2C23-E3FF-48A6-A129-03E831E84C9E}"/>
    <cellStyle name="Input 3" xfId="276" xr:uid="{2DDCFE6B-0B81-44AB-B9A2-0667E352F3BF}"/>
    <cellStyle name="Linked Cell 2" xfId="280" xr:uid="{A79E0009-05D8-47FD-8DD1-44E13E113434}"/>
    <cellStyle name="Linked Cell 2 2" xfId="281" xr:uid="{37B80B34-2896-44BF-AD3E-6E759429A328}"/>
    <cellStyle name="Linked Cell 3" xfId="279" xr:uid="{A6E5EFC3-5F84-4543-9C9A-EB3BBD9E23FF}"/>
    <cellStyle name="Neutra 2" xfId="282" xr:uid="{8C69F10D-4151-49E3-B262-DA7C7EB2D3F9}"/>
    <cellStyle name="Neutra 2 2" xfId="283" xr:uid="{8D10866D-F30B-4009-A38F-472CBC5C9254}"/>
    <cellStyle name="Neutral 1" xfId="285" xr:uid="{305906DE-6B33-4E3B-98BC-3A09E3D6458C}"/>
    <cellStyle name="Neutral 2" xfId="286" xr:uid="{07187A18-5116-414E-A9EE-2B986ED2B4D3}"/>
    <cellStyle name="Neutral 2 2" xfId="287" xr:uid="{C76D96C9-7F15-4371-96CF-12A4533DB488}"/>
    <cellStyle name="Neutral 3" xfId="288" xr:uid="{21FD9139-EDA4-4554-BF46-99DA4894E32C}"/>
    <cellStyle name="Neutral 4" xfId="284" xr:uid="{3A58E103-E141-4FA1-9BD7-7AED316742F7}"/>
    <cellStyle name="Neutro 2" xfId="289" xr:uid="{9F4529F5-581C-4353-AD97-FB089042D454}"/>
    <cellStyle name="Neutro 2 2" xfId="290" xr:uid="{CD4562AC-2CDE-4579-94C0-C454DB3E1D80}"/>
    <cellStyle name="Normal" xfId="0" builtinId="0"/>
    <cellStyle name="Normal 10" xfId="291" xr:uid="{77521BE3-7193-4C89-9FC8-A1FADE80D007}"/>
    <cellStyle name="Normal 10 2" xfId="292" xr:uid="{27D65DE4-CC11-4F4E-B71D-0321720F1B30}"/>
    <cellStyle name="Normal 11" xfId="293" xr:uid="{0C944E8A-363A-4018-B605-865238A14D32}"/>
    <cellStyle name="Normal 11 2" xfId="294" xr:uid="{C41170C6-681A-47E0-955F-707BD1004867}"/>
    <cellStyle name="Normal 11 2 2" xfId="295" xr:uid="{649E6DAA-7BDF-4C94-9C8E-E9BF68A1B3DC}"/>
    <cellStyle name="Normal 11 2 3" xfId="296" xr:uid="{F341C4E8-4460-4176-9D84-F610DDE79F07}"/>
    <cellStyle name="Normal 11 3" xfId="297" xr:uid="{69EEA9E1-0FE0-46C0-8361-52384414116A}"/>
    <cellStyle name="Normal 11 4" xfId="298" xr:uid="{E9C6CBB2-CB21-4C3E-BBA6-648F74EC08A5}"/>
    <cellStyle name="Normal 12" xfId="299" xr:uid="{99BFA851-CADD-43FE-8175-756604A295B4}"/>
    <cellStyle name="Normal 12 2" xfId="300" xr:uid="{1339DDEB-66F8-482F-BA6B-6F06460C0E2D}"/>
    <cellStyle name="Normal 12 2 2" xfId="301" xr:uid="{91A2AE3F-B5D5-494C-99E4-D62088D0B6B8}"/>
    <cellStyle name="Normal 12 3" xfId="302" xr:uid="{1990C484-58AF-49B2-8A8A-7E1F8DAAFD70}"/>
    <cellStyle name="Normal 13" xfId="303" xr:uid="{76295F7A-B791-4FFE-B5E0-34AC0F9BF8C7}"/>
    <cellStyle name="Normal 13 2" xfId="304" xr:uid="{D16D42EF-9CBB-4DAA-B52A-454D61726395}"/>
    <cellStyle name="Normal 13 2 2" xfId="305" xr:uid="{0D352D01-819A-4D7A-A0D7-D2C64CFF3BD0}"/>
    <cellStyle name="Normal 13 3" xfId="306" xr:uid="{7EB7B0CB-0056-4500-B247-541FFD0DB4FC}"/>
    <cellStyle name="Normal 14" xfId="307" xr:uid="{C27BD477-0A84-4DD1-AD18-177C3C34972B}"/>
    <cellStyle name="Normal 14 2" xfId="308" xr:uid="{4A979FBF-FC0F-4617-B864-6D89100F5515}"/>
    <cellStyle name="Normal 15" xfId="309" xr:uid="{3BD0A108-69E1-4FAC-A112-D4A4647D8043}"/>
    <cellStyle name="Normal 15 2" xfId="310" xr:uid="{C31FD84F-718F-43FA-A603-02D8919D0C44}"/>
    <cellStyle name="Normal 15 2 2" xfId="311" xr:uid="{32F90E70-959E-47EF-AA16-6FAACCC814F9}"/>
    <cellStyle name="Normal 15 3" xfId="312" xr:uid="{7EFB3785-B119-4B9B-9589-A77259ACFF22}"/>
    <cellStyle name="Normal 16" xfId="313" xr:uid="{1D4FDF0A-B9A6-47CE-BC00-7580A9DED603}"/>
    <cellStyle name="Normal 16 2" xfId="314" xr:uid="{1CE79468-5BEB-401B-9404-2323D75B1B7E}"/>
    <cellStyle name="Normal 16 3" xfId="315" xr:uid="{B3687579-4760-42E2-9DCF-59A341BD7F75}"/>
    <cellStyle name="Normal 16 4" xfId="316" xr:uid="{ECA0993B-2D22-4A8E-8C97-2B6AB83F4F43}"/>
    <cellStyle name="Normal 2" xfId="317" xr:uid="{C735B674-3B72-4E93-9B83-F470B2145581}"/>
    <cellStyle name="Normal 2 2" xfId="318" xr:uid="{789E5126-55C5-4030-98EF-E881DF71CD26}"/>
    <cellStyle name="Normal 3" xfId="319" xr:uid="{6A0043FE-87BA-4665-AE29-8D956AD701F4}"/>
    <cellStyle name="Normal 3 2" xfId="320" xr:uid="{337EA8E4-2A07-4BE1-94B2-C304F84E4530}"/>
    <cellStyle name="Normal 3 2 2" xfId="321" xr:uid="{34C009B9-77C0-4058-9DA9-0D9AF73AA686}"/>
    <cellStyle name="Normal 3 2 2 2" xfId="322" xr:uid="{669012FA-055A-4757-871F-6D2330130C52}"/>
    <cellStyle name="Normal 3 2 2 3" xfId="323" xr:uid="{AC149596-D488-425F-A901-EB8882F867D2}"/>
    <cellStyle name="Normal 3 2 3" xfId="324" xr:uid="{52459E42-D827-4C64-A13E-BB0E55541085}"/>
    <cellStyle name="Normal 3 2 4" xfId="325" xr:uid="{5CC953C5-2708-4EA8-A57B-3CE017625627}"/>
    <cellStyle name="Normal 3 3" xfId="326" xr:uid="{3C6538CB-6C03-4855-A5E6-F6230A10B4C7}"/>
    <cellStyle name="Normal 3 3 2" xfId="327" xr:uid="{B513F0B8-5EF0-48FA-8B71-AFF3B4094D3C}"/>
    <cellStyle name="Normal 3 3 2 2" xfId="328" xr:uid="{956BADF7-1A92-4A4F-AE3E-A1061666B7D2}"/>
    <cellStyle name="Normal 3 3 3" xfId="329" xr:uid="{15C77F48-EC9C-44C8-8669-2D83F657BAF2}"/>
    <cellStyle name="Normal 3 4" xfId="330" xr:uid="{90DE21D3-8620-4C9F-8E17-74C1DCF8C987}"/>
    <cellStyle name="Normal 3 4 2" xfId="331" xr:uid="{EDB669FB-548D-4006-809E-840AB61ABFDA}"/>
    <cellStyle name="Normal 3 4 3" xfId="332" xr:uid="{8E6144BF-69A6-4C22-84CC-C9F244A6A161}"/>
    <cellStyle name="Normal 3 5" xfId="333" xr:uid="{17448C5A-AC06-4860-9D03-C2419C2C95A6}"/>
    <cellStyle name="Normal 3 5 2" xfId="334" xr:uid="{29BE9BC1-C7E9-406F-9C2C-D197CA5D0357}"/>
    <cellStyle name="Normal 3 5 3" xfId="335" xr:uid="{09CECBD6-D987-417B-90FC-691838F8DF7A}"/>
    <cellStyle name="Normal 3 6" xfId="336" xr:uid="{A0CCAAB0-53BE-4219-86C7-CA0805B5EFA8}"/>
    <cellStyle name="Normal 3 7" xfId="337" xr:uid="{2F0D0BD6-1A8D-4041-BD9E-9AF19B97C5D9}"/>
    <cellStyle name="Normal 4" xfId="338" xr:uid="{9C9C838E-D8BD-408A-B020-BC2F085F3E2D}"/>
    <cellStyle name="Normal 4 2" xfId="339" xr:uid="{2AE28CE6-E449-40D0-8005-FE9A192865BD}"/>
    <cellStyle name="Normal 4 2 2" xfId="340" xr:uid="{929F1685-16E1-4CC1-8AF0-7DC1B8B449EA}"/>
    <cellStyle name="Normal 4 2 3" xfId="341" xr:uid="{6105FF9F-A1CE-49DE-AA8A-E76D81CCDD3B}"/>
    <cellStyle name="Normal 4 3" xfId="342" xr:uid="{20F662ED-C444-4786-BD0D-07488E2C90A2}"/>
    <cellStyle name="Normal 4 4" xfId="343" xr:uid="{24706589-A3A1-490D-A22B-E8871BF28A20}"/>
    <cellStyle name="Normal 5" xfId="344" xr:uid="{3516590E-88AF-412B-9EEE-A956E2BA1BBB}"/>
    <cellStyle name="Normal 5 2" xfId="345" xr:uid="{3DBCBA17-2CFB-4FB8-8761-5934CC8F3DC0}"/>
    <cellStyle name="Normal 5 2 2" xfId="346" xr:uid="{7EEFFFA9-8492-4E4A-B82C-45D0DCB462FE}"/>
    <cellStyle name="Normal 5 2 2 2" xfId="347" xr:uid="{7ADA8BBD-EE31-4873-AF8F-ADAC866894CC}"/>
    <cellStyle name="Normal 5 2 2 2 2" xfId="348" xr:uid="{AF22A3C6-069A-4878-9043-6FE05F6E56E4}"/>
    <cellStyle name="Normal 5 2 2 2 2 2" xfId="349" xr:uid="{F89EDD89-91CF-4A6F-9EC2-F87A1239CA49}"/>
    <cellStyle name="Normal 5 2 2 2 3" xfId="350" xr:uid="{6271E736-7E68-4E47-A824-1511B192AB0B}"/>
    <cellStyle name="Normal 5 2 2 3" xfId="351" xr:uid="{AC13FE4F-39E9-4502-94D1-DB49A8C43F08}"/>
    <cellStyle name="Normal 5 2 2 3 2" xfId="352" xr:uid="{9838EE3E-195C-4684-8C87-0E52339753EC}"/>
    <cellStyle name="Normal 5 2 2 4" xfId="353" xr:uid="{3E80A731-41BD-402F-BE90-06677F9427C9}"/>
    <cellStyle name="Normal 5 2 3" xfId="354" xr:uid="{8B9DB960-B23A-4B99-91EF-4C7B986DE11D}"/>
    <cellStyle name="Normal 5 2 3 2" xfId="355" xr:uid="{10CC4BD0-4B1C-4713-9FEF-509F43300B0F}"/>
    <cellStyle name="Normal 5 2 3 2 2" xfId="356" xr:uid="{A351918A-24F8-478E-9C2B-B72C351617F6}"/>
    <cellStyle name="Normal 5 2 3 3" xfId="357" xr:uid="{D59629C8-8FD0-4981-9CBB-BDC4064C2FDB}"/>
    <cellStyle name="Normal 5 2 4" xfId="358" xr:uid="{40C8D904-1669-4796-9B6C-E42A44F52BEC}"/>
    <cellStyle name="Normal 5 2 4 2" xfId="359" xr:uid="{CABE08C2-5793-4BB2-8BAC-BF64C4A1B0C2}"/>
    <cellStyle name="Normal 5 2 5" xfId="360" xr:uid="{E9AFC4C8-CCCB-49EA-90DE-C23CBC652159}"/>
    <cellStyle name="Normal 5 3" xfId="361" xr:uid="{9126DE8E-46FC-40A2-A282-5AC282FBA73E}"/>
    <cellStyle name="Normal 5 3 2" xfId="362" xr:uid="{02222686-3551-47F3-888D-F97957B59735}"/>
    <cellStyle name="Normal 5 3 2 2" xfId="363" xr:uid="{9E0B3A6F-EF08-4D3A-9023-265CA582ED65}"/>
    <cellStyle name="Normal 5 3 2 2 2" xfId="364" xr:uid="{281F8910-2A8F-48FE-B257-1828431625C2}"/>
    <cellStyle name="Normal 5 3 2 3" xfId="365" xr:uid="{9C4EAA66-902E-4886-95E0-C2324C796EC8}"/>
    <cellStyle name="Normal 5 3 3" xfId="366" xr:uid="{F14BBD9B-68DD-4D06-A069-E97B92DA2B5A}"/>
    <cellStyle name="Normal 5 3 3 2" xfId="367" xr:uid="{957DE85E-753B-45EC-96ED-E16CCFF5B991}"/>
    <cellStyle name="Normal 5 3 4" xfId="368" xr:uid="{EEDEB495-C041-46F9-BF1F-6D3E175E17A6}"/>
    <cellStyle name="Normal 5 4" xfId="369" xr:uid="{0A1CD535-A484-40B3-9C64-38CBA6FA1EC3}"/>
    <cellStyle name="Normal 5 4 2" xfId="370" xr:uid="{0C27AF0D-3062-4171-AA40-0247E6950A81}"/>
    <cellStyle name="Normal 5 4 2 2" xfId="371" xr:uid="{0A9F4C27-5558-402D-B40B-DCBA9147EABD}"/>
    <cellStyle name="Normal 5 4 3" xfId="372" xr:uid="{10D0136C-F007-479A-9BB7-BDE479CE3769}"/>
    <cellStyle name="Normal 5 5" xfId="373" xr:uid="{243019FE-69C2-4E47-9003-2BD85638BD17}"/>
    <cellStyle name="Normal 5 5 2" xfId="374" xr:uid="{0521A2AB-19AA-4936-910C-BDE0603C1EBE}"/>
    <cellStyle name="Normal 5 5 2 2" xfId="375" xr:uid="{7514444C-C97E-4D83-9378-5943451F3DB7}"/>
    <cellStyle name="Normal 5 5 3" xfId="376" xr:uid="{4AD71FC2-8E2E-4522-AE51-0EE2D229C731}"/>
    <cellStyle name="Normal 5 6" xfId="377" xr:uid="{BE6B6949-81D5-4D95-ADF1-29B1673A4CC3}"/>
    <cellStyle name="Normal 5 6 2" xfId="378" xr:uid="{32325C5B-D79A-4842-8C78-A87EDE589E7F}"/>
    <cellStyle name="Normal 5 7" xfId="379" xr:uid="{C23C714F-5E4F-47B8-9EDC-06DCB88A0283}"/>
    <cellStyle name="Normal 6" xfId="380" xr:uid="{5125A8A9-45DE-4381-9508-614D9003EA2C}"/>
    <cellStyle name="Normal 6 2" xfId="381" xr:uid="{B0BDE318-13CF-43D4-B90F-A58E1B056F82}"/>
    <cellStyle name="Normal 6 2 2" xfId="382" xr:uid="{204CB664-41A1-422A-AE85-481C1CC118B9}"/>
    <cellStyle name="Normal 6 2 2 2" xfId="383" xr:uid="{0AA6F2CB-5EB7-4148-B475-F4A211A43210}"/>
    <cellStyle name="Normal 6 2 2 2 2" xfId="384" xr:uid="{C63F42A0-B568-416E-995F-3427437D292D}"/>
    <cellStyle name="Normal 6 2 2 3" xfId="385" xr:uid="{AA272232-91A4-420A-AA1A-FB3768AA27E1}"/>
    <cellStyle name="Normal 6 2 3" xfId="386" xr:uid="{3AB86462-16CC-4DF2-B9E2-2D661E8B53A2}"/>
    <cellStyle name="Normal 6 2 3 2" xfId="387" xr:uid="{AE628236-ECE6-47C1-95F4-327B2D005EA2}"/>
    <cellStyle name="Normal 6 2 4" xfId="388" xr:uid="{2B010DB9-963A-4255-8BD2-FF53A6AAF543}"/>
    <cellStyle name="Normal 6 3" xfId="389" xr:uid="{537494C5-695D-439D-B458-65D7ABB3924A}"/>
    <cellStyle name="Normal 6 3 2" xfId="390" xr:uid="{DB04F47D-DDDB-4EF5-9388-4E3F34149D5F}"/>
    <cellStyle name="Normal 6 3 2 2" xfId="391" xr:uid="{431D04A8-3E8A-4D56-95E0-C6E925566C5B}"/>
    <cellStyle name="Normal 6 3 3" xfId="392" xr:uid="{3484FE9A-F11E-400D-9967-12140E6AB267}"/>
    <cellStyle name="Normal 6 4" xfId="393" xr:uid="{C601FFDF-31C7-48B4-A0DB-956D02EC0FD1}"/>
    <cellStyle name="Normal 6 4 2" xfId="394" xr:uid="{8FC4D8B5-D759-4C29-87BF-E3EB62486B8F}"/>
    <cellStyle name="Normal 6 5" xfId="395" xr:uid="{40C5A705-A16A-4656-BE0A-BB380F008256}"/>
    <cellStyle name="Normal 7" xfId="396" xr:uid="{01E2BC57-6C17-4465-80BE-4CB14C7425D2}"/>
    <cellStyle name="Normal 7 2" xfId="397" xr:uid="{15D6EA29-0DF3-462D-B211-3C7CE6BEDC76}"/>
    <cellStyle name="Normal 7 2 2" xfId="398" xr:uid="{0383D174-9A1E-42B7-9979-2B81B2A88C8F}"/>
    <cellStyle name="Normal 7 2 3" xfId="399" xr:uid="{CEE7628A-6EDA-4567-9F55-E753EF7BEB60}"/>
    <cellStyle name="Normal 7 3" xfId="400" xr:uid="{BAB4A971-395B-41E0-A4D2-2F011EE5516F}"/>
    <cellStyle name="Normal 7 4" xfId="401" xr:uid="{EE00DFAA-9414-4610-8642-657125A0DE2E}"/>
    <cellStyle name="Normal 8" xfId="402" xr:uid="{00FAFC8C-1E37-4612-ACFF-48C6CD446D40}"/>
    <cellStyle name="Normal 8 2" xfId="403" xr:uid="{5BEE265E-A6B8-4BF5-923F-130D0B015E7C}"/>
    <cellStyle name="Normal 8 2 2" xfId="404" xr:uid="{9821CA03-BE5F-4C13-AECE-821895D70245}"/>
    <cellStyle name="Normal 8 2 2 2" xfId="405" xr:uid="{3314F619-B618-4ACC-B51D-ED7C0FA64976}"/>
    <cellStyle name="Normal 8 2 3" xfId="406" xr:uid="{7296E025-B596-4FB9-BC10-7DB3C918EDBF}"/>
    <cellStyle name="Normal 8 3" xfId="407" xr:uid="{F37EEC82-E674-467A-BF41-649431E3753F}"/>
    <cellStyle name="Normal 8 3 2" xfId="408" xr:uid="{80CE6B14-F74E-4CD4-8692-1EBBFE3A3370}"/>
    <cellStyle name="Normal 8 4" xfId="409" xr:uid="{9AAC8E93-E9E7-4570-853E-B7E7BCD6503B}"/>
    <cellStyle name="Normal 9" xfId="410" xr:uid="{450B9A2D-3A38-4628-8E22-CD13113E7EB9}"/>
    <cellStyle name="Normal 9 2" xfId="411" xr:uid="{5E0A630B-D1B2-4291-BCC9-960BAF1425F0}"/>
    <cellStyle name="Normal 9 2 2" xfId="412" xr:uid="{10871ECC-4F7A-4D8F-BA97-257AF5592E30}"/>
    <cellStyle name="Normal 9 3" xfId="413" xr:uid="{E28E0916-D78B-4E56-9643-99BE5593D0FD}"/>
    <cellStyle name="Normal_ESTIMATIVAS MUNICIPAIS 2011" xfId="414" xr:uid="{DDC67275-25AE-487D-8AB4-A551CC30876E}"/>
    <cellStyle name="Nota 2" xfId="415" xr:uid="{D430B93D-73E3-4FFE-8746-987E31A3D781}"/>
    <cellStyle name="Nota 2 2" xfId="416" xr:uid="{0ADC9E01-EF4D-45DF-AC9E-52699A30890F}"/>
    <cellStyle name="Nota 3" xfId="417" xr:uid="{0F212683-7219-47D1-B599-4C2616302859}"/>
    <cellStyle name="Nota 3 2" xfId="418" xr:uid="{62D6A67A-40EE-46B3-A6FD-9D401C55ED9B}"/>
    <cellStyle name="Note 1" xfId="420" xr:uid="{8A2D8EA0-7200-41FB-B121-18BA72C7C926}"/>
    <cellStyle name="Note 2" xfId="421" xr:uid="{A439447F-A798-4C2E-87C3-96E518EC9B64}"/>
    <cellStyle name="Note 2 2" xfId="422" xr:uid="{EB4E7631-9457-4F70-8AD6-D5031C2C73B4}"/>
    <cellStyle name="Note 3" xfId="423" xr:uid="{CE0ACADF-D2DA-4250-841A-9F203F36D989}"/>
    <cellStyle name="Note 4" xfId="419" xr:uid="{E8927DFD-B757-4432-87BA-8403485F4C4A}"/>
    <cellStyle name="Output 2" xfId="425" xr:uid="{866A114F-08AC-4F81-B65F-353AE0CA2F11}"/>
    <cellStyle name="Output 2 2" xfId="426" xr:uid="{AC02DE66-5C36-4741-9947-8241037A0C5D}"/>
    <cellStyle name="Output 3" xfId="424" xr:uid="{2888667D-38CB-42F4-A306-F48665601948}"/>
    <cellStyle name="Percent" xfId="2" builtinId="5"/>
    <cellStyle name="Percent 2" xfId="427" xr:uid="{73E0D564-6783-4DF9-B2A3-F796E16C4BF3}"/>
    <cellStyle name="Percent 2 2" xfId="428" xr:uid="{6B6B695B-66A2-42A4-A59D-A819C62D0DFF}"/>
    <cellStyle name="Percent 2 3" xfId="429" xr:uid="{08937938-D6CA-4DC8-B9EF-2AD5601727E4}"/>
    <cellStyle name="Percent 3" xfId="430" xr:uid="{CA3E4402-D6C7-4F0B-B779-4DE723E19CDC}"/>
    <cellStyle name="Percent 3 2" xfId="431" xr:uid="{032682E1-BC04-42A4-9AAF-C4C32EDE8830}"/>
    <cellStyle name="Percent 3 3" xfId="432" xr:uid="{5CAB9CF8-E4C1-404C-9013-136450FD5145}"/>
    <cellStyle name="Pivot Table Corner" xfId="433" xr:uid="{43BE38A9-903B-4511-945D-EDA6DBC8B6D7}"/>
    <cellStyle name="Pivot Table Value" xfId="434" xr:uid="{37A37BA8-B1C1-4395-8EAC-AE05DD810D00}"/>
    <cellStyle name="Porcentagem 2" xfId="435" xr:uid="{988E9FBD-16F3-485D-A283-2D68095D0C3D}"/>
    <cellStyle name="Porcentagem 2 2" xfId="436" xr:uid="{88DA92F3-BC96-416A-85EB-380F162283BF}"/>
    <cellStyle name="Porcentagem 3" xfId="437" xr:uid="{3F2F77BB-F3A6-4A03-9613-1551B5E33B90}"/>
    <cellStyle name="Porcentagem 3 2" xfId="438" xr:uid="{89508573-3C34-4AC2-840D-E92B774BF366}"/>
    <cellStyle name="Porcentagem 3 2 2" xfId="439" xr:uid="{A3CA27E0-0870-4319-BA2B-72ECB2B03942}"/>
    <cellStyle name="Porcentagem 3 2 3" xfId="440" xr:uid="{D83B4D0B-5EFE-4602-B77F-D5FE730FCCB7}"/>
    <cellStyle name="Porcentagem 3 3" xfId="441" xr:uid="{48CBB26C-A146-437F-A1E5-F6AB9EFEF2C2}"/>
    <cellStyle name="Porcentagem 3 4" xfId="442" xr:uid="{FDBA9404-DC94-4236-AA00-2A7A901F159B}"/>
    <cellStyle name="Porcentagem 4" xfId="443" xr:uid="{A29F31A3-6F29-43B2-970E-BB26298ED473}"/>
    <cellStyle name="Porcentagem 4 2" xfId="444" xr:uid="{21C6181A-C3B0-4FA8-AA56-B85EA814B942}"/>
    <cellStyle name="Porcentagem 4 2 2" xfId="445" xr:uid="{028B9A2A-C1E8-4478-B9FB-91506F0860FF}"/>
    <cellStyle name="Porcentagem 4 2 2 2" xfId="446" xr:uid="{68F86DE7-491F-465F-9ABF-9BBA3B709668}"/>
    <cellStyle name="Porcentagem 4 2 3" xfId="447" xr:uid="{F110B835-8872-4677-91CD-14276976F2D3}"/>
    <cellStyle name="Porcentagem 4 3" xfId="448" xr:uid="{9397E993-9B93-4128-91CA-DE4C929F867C}"/>
    <cellStyle name="Porcentagem 4 3 2" xfId="449" xr:uid="{22F75F2C-80CC-4EF2-81A7-2C1B11A6711A}"/>
    <cellStyle name="Porcentagem 4 4" xfId="450" xr:uid="{9DD7FE10-3985-4C57-AA9B-F360EB085EFD}"/>
    <cellStyle name="Porcentagem 5" xfId="451" xr:uid="{FA61EC49-0E1D-4C44-B4F3-7D0AE5C26BB7}"/>
    <cellStyle name="Porcentagem 5 2" xfId="452" xr:uid="{B8D86901-021B-48A9-97B2-0D5389E0B0F6}"/>
    <cellStyle name="Porcentagem 5 3" xfId="453" xr:uid="{B421CE20-CF33-4882-A1E4-8B6AB04E5854}"/>
    <cellStyle name="Result" xfId="454" xr:uid="{AC0A98F8-F861-496B-A52D-7C00F66D0B05}"/>
    <cellStyle name="Result (user)" xfId="455" xr:uid="{AB3DC882-3F34-496B-9AA6-AB89AF3E3F73}"/>
    <cellStyle name="Result2" xfId="456" xr:uid="{20F4614A-8E52-4245-99D0-D62D3520C232}"/>
    <cellStyle name="Result2 (user)" xfId="457" xr:uid="{C662AFBB-1360-4C98-83C4-7C7679D28541}"/>
    <cellStyle name="Ruim 2" xfId="458" xr:uid="{859E4158-2BE7-4DDE-BAEB-0820EFC4D319}"/>
    <cellStyle name="Ruim 2 2" xfId="459" xr:uid="{52D54059-8FF7-41E9-B551-48E74CB2EBC9}"/>
    <cellStyle name="Saída 2" xfId="460" xr:uid="{E38002F0-DCF8-4214-8041-E8D1A9CCA34A}"/>
    <cellStyle name="Saída 2 2" xfId="461" xr:uid="{0641C3FF-C54C-461B-A0B2-BF5996B422E4}"/>
    <cellStyle name="Saída 3" xfId="462" xr:uid="{321DF9D1-F754-40B7-90E2-B3C38A37F191}"/>
    <cellStyle name="Saída 3 2" xfId="463" xr:uid="{16A7A100-6BBA-4F2A-B63A-F2B3BAEB6C83}"/>
    <cellStyle name="Status" xfId="464" xr:uid="{7C5B32FC-F66B-4B88-9581-C7460E9A8F41}"/>
    <cellStyle name="Status 1" xfId="465" xr:uid="{9044B440-2448-40DB-913D-A29B95E57A0E}"/>
    <cellStyle name="Status 2" xfId="466" xr:uid="{5BCC24BC-5545-47D0-AE1A-5D0B30BB8830}"/>
    <cellStyle name="Text" xfId="467" xr:uid="{ED5EA1B1-2EE4-4157-BAD2-C5F2997ADAF7}"/>
    <cellStyle name="Text 1" xfId="468" xr:uid="{24E8C430-8C1A-43EC-AD5A-0E131B401057}"/>
    <cellStyle name="Text 2" xfId="469" xr:uid="{E3DD12EF-91FB-4BCB-A4A6-F39B31E52084}"/>
    <cellStyle name="Texto de Aviso 2" xfId="470" xr:uid="{9CCC018D-768A-4BEB-A943-832046529454}"/>
    <cellStyle name="Texto de Aviso 2 2" xfId="471" xr:uid="{92710FD1-B5CE-4FCE-AD52-89E03F46B551}"/>
    <cellStyle name="Texto de Aviso 3" xfId="472" xr:uid="{D970F0E0-8C55-4D75-950D-784925E2D887}"/>
    <cellStyle name="Texto de Aviso 3 2" xfId="473" xr:uid="{755B5B74-28F0-4D77-8A31-B4A1C2570068}"/>
    <cellStyle name="Texto Explicativo 2" xfId="474" xr:uid="{18685A66-F9CB-4D67-BD57-7010446DCADA}"/>
    <cellStyle name="Texto Explicativo 2 2" xfId="475" xr:uid="{DEA22177-A623-4DBE-A47E-61D03C5E07EC}"/>
    <cellStyle name="Texto Explicativo 3" xfId="476" xr:uid="{12922E0D-32BB-4A7A-872B-169E828296B3}"/>
    <cellStyle name="Texto Explicativo 3 2" xfId="477" xr:uid="{9C1F880F-85FA-4251-840D-EBABA4881190}"/>
    <cellStyle name="Title 2" xfId="479" xr:uid="{129F627E-ACDB-4BBF-B698-0DEE06042B5E}"/>
    <cellStyle name="Title 2 2" xfId="480" xr:uid="{54821BB3-E5D3-46F4-BC6C-003F779CB20B}"/>
    <cellStyle name="Title 3" xfId="478" xr:uid="{A1D4A04A-4D15-421E-8E29-182683A797C3}"/>
    <cellStyle name="Título 1 2" xfId="481" xr:uid="{980F8D16-3008-4A23-9567-9577B5F637A6}"/>
    <cellStyle name="Título 1 2 2" xfId="482" xr:uid="{32983CBB-F5DB-4E92-859B-257AEE8E043E}"/>
    <cellStyle name="Título 1 3" xfId="483" xr:uid="{6F6A513F-40A7-4419-AEB7-5499AEBDDDCF}"/>
    <cellStyle name="Título 1 3 2" xfId="484" xr:uid="{54066076-E85D-4DF8-B7B6-E91BF3161BEA}"/>
    <cellStyle name="Título 2 2" xfId="485" xr:uid="{136F81BD-0CB5-482B-8061-E58CE6E2C7A1}"/>
    <cellStyle name="Título 2 2 2" xfId="486" xr:uid="{36A9BF1A-1D86-4F8C-B4DE-520640D06605}"/>
    <cellStyle name="Título 2 3" xfId="487" xr:uid="{4B861EF6-01CB-4397-B370-5A1E0221F980}"/>
    <cellStyle name="Título 2 3 2" xfId="488" xr:uid="{CA582365-F20D-49C3-9AA2-9DB67A45B883}"/>
    <cellStyle name="Título 3 2" xfId="489" xr:uid="{F8A1F6F4-DCA7-46D5-8D32-18FA7D059707}"/>
    <cellStyle name="Título 3 2 2" xfId="490" xr:uid="{2B1F14B9-7EEE-4D79-90EE-A63DE0F40EBE}"/>
    <cellStyle name="Título 3 3" xfId="491" xr:uid="{3DCA36A3-DA7C-4689-B13E-2AFCB29C7285}"/>
    <cellStyle name="Título 3 3 2" xfId="492" xr:uid="{BC5BB429-3B39-450D-9C99-07589DC89F51}"/>
    <cellStyle name="Título 4 2" xfId="493" xr:uid="{FD73E15D-12C1-44AC-ABDE-1C5866E1947C}"/>
    <cellStyle name="Título 4 2 2" xfId="494" xr:uid="{61E057F8-2A93-403C-B5FE-0310CF124F77}"/>
    <cellStyle name="Título 4 3" xfId="495" xr:uid="{470F61D1-6809-40EB-B5C0-226E533AAE19}"/>
    <cellStyle name="Título 4 3 2" xfId="496" xr:uid="{B6A1543B-D8F6-46AC-A275-50CAD8C61455}"/>
    <cellStyle name="Título 5" xfId="497" xr:uid="{49B2165B-C9DC-4C82-899C-1ABE807D06E3}"/>
    <cellStyle name="Título 5 2" xfId="498" xr:uid="{AC0186E9-663E-4B17-AF57-99FA0C70CF2D}"/>
    <cellStyle name="Título 6" xfId="499" xr:uid="{C568786D-C3A6-405E-9308-60A132E3BCFD}"/>
    <cellStyle name="Título 6 2" xfId="500" xr:uid="{9920BC84-20C1-4898-8E97-E3F650BF46F6}"/>
    <cellStyle name="Total 2" xfId="501" xr:uid="{E42925FE-5A75-4865-AC19-28835A1B0A73}"/>
    <cellStyle name="Total 2 2" xfId="502" xr:uid="{344D316E-4FF4-4A2D-B25E-D81CC78AD41D}"/>
    <cellStyle name="Total 3" xfId="503" xr:uid="{E53ED3BE-75C7-4ED8-870B-BD87C3C9A5B1}"/>
    <cellStyle name="Total 3 2" xfId="504" xr:uid="{D271DD77-8650-43C2-8808-FE4FAEB0084C}"/>
    <cellStyle name="Total 4" xfId="505" xr:uid="{437BD9F7-B8B7-4509-B475-38B7BB203AFB}"/>
    <cellStyle name="Total 4 2" xfId="506" xr:uid="{F60FA7C5-F0CD-49BA-87E5-3404B8AD401A}"/>
    <cellStyle name="Total 4 3" xfId="507" xr:uid="{464107B7-8139-4DAA-AA80-5C7C943E8AEA}"/>
    <cellStyle name="Valor da tabela dinâmica" xfId="508" xr:uid="{D1374B82-2E4F-40C7-87CA-76B57815B901}"/>
    <cellStyle name="Valor da tabela dinâmica 2" xfId="509" xr:uid="{ADD3E25A-75D3-4916-9FF2-A17AF87DF827}"/>
    <cellStyle name="Vírgula 2" xfId="511" xr:uid="{DB7FA7CC-DE45-48A3-B3CD-F464DFA92C11}"/>
    <cellStyle name="Vírgula 2 2" xfId="512" xr:uid="{35565709-926D-4CDF-8754-65AE1DA26922}"/>
    <cellStyle name="Vírgula 2 2 2" xfId="513" xr:uid="{D2DD9620-D79B-4A53-9BD4-515090A2DD00}"/>
    <cellStyle name="Vírgula 2 2 2 2" xfId="514" xr:uid="{60F4F6B0-2036-4764-8EF5-674FFE9CB0A9}"/>
    <cellStyle name="Vírgula 2 2 2 3" xfId="515" xr:uid="{3A5735C2-709B-4B0A-9C24-050D69FEB2FC}"/>
    <cellStyle name="Vírgula 2 2 2 4" xfId="516" xr:uid="{D5F025F5-04B2-4AB2-9A95-46B0C84FB9C2}"/>
    <cellStyle name="Vírgula 2 2 3" xfId="517" xr:uid="{3685D76C-1524-4B72-828A-D26B499790B9}"/>
    <cellStyle name="Vírgula 2 2 4" xfId="518" xr:uid="{94419B3B-6FD6-4B53-921F-62766566C975}"/>
    <cellStyle name="Vírgula 2 3" xfId="519" xr:uid="{22C1D434-14D4-4087-AE34-98D88E67C8E1}"/>
    <cellStyle name="Vírgula 2 3 2" xfId="520" xr:uid="{7C9DE312-219B-4ADB-8D59-317BF4EB7511}"/>
    <cellStyle name="Vírgula 2 3 3" xfId="521" xr:uid="{FCA8C65C-3611-4DF7-B794-ED9F1C8A32D5}"/>
    <cellStyle name="Vírgula 2 3 4" xfId="522" xr:uid="{8F646A13-3BC1-400D-A9C8-E5DF8D632B4B}"/>
    <cellStyle name="Vírgula 2 4" xfId="523" xr:uid="{E409036B-9E50-4BB9-ABE6-F0C91E942E63}"/>
    <cellStyle name="Vírgula 2 5" xfId="524" xr:uid="{B0A0D396-8168-477A-9459-FD9A78873864}"/>
    <cellStyle name="Vírgula 3" xfId="525" xr:uid="{BF3845FA-7386-459F-AAFD-4C5864E55059}"/>
    <cellStyle name="Vírgula 3 2" xfId="526" xr:uid="{92DE9CF8-62B1-44B2-B5F3-C58FBA0AFE16}"/>
    <cellStyle name="Vírgula 3 3" xfId="527" xr:uid="{7FC29C75-3016-4C03-8B64-3CEA5CFED145}"/>
    <cellStyle name="Vírgula 3 4" xfId="528" xr:uid="{9EE99964-BB85-4B87-8184-6D60607113A3}"/>
    <cellStyle name="Vírgula 4" xfId="529" xr:uid="{2CD4B245-1D6A-4CF9-BE9D-669877A82F77}"/>
    <cellStyle name="Vírgula 4 2" xfId="530" xr:uid="{31D20091-BCE3-4E1F-B6CF-746E94E770A4}"/>
    <cellStyle name="Vírgula 4 3" xfId="531" xr:uid="{0919E189-110A-435E-BCAB-E2E7E4ED397A}"/>
    <cellStyle name="Vírgula 5" xfId="532" xr:uid="{9F0715B6-0BE1-401A-9489-43F3A7EE0FB7}"/>
    <cellStyle name="Warning" xfId="533" xr:uid="{D005EA16-B61F-40F3-94FB-4B4942873912}"/>
    <cellStyle name="Warning 1" xfId="534" xr:uid="{22DF8CAC-AAE9-4D55-A890-F6C592460AAE}"/>
    <cellStyle name="Warning 2" xfId="535" xr:uid="{35B59E14-CE25-4E4E-A78E-5E1BE31DAE56}"/>
    <cellStyle name="Warning Text 2" xfId="537" xr:uid="{4D3D4A01-2968-4DFE-9994-ED089CF95C81}"/>
    <cellStyle name="Warning Text 2 2" xfId="538" xr:uid="{2E830036-D0BD-4852-A0EB-80451CBDC10A}"/>
    <cellStyle name="Warning Text 3" xfId="536" xr:uid="{92DB2FBD-4625-4BB1-B77A-2F2F932B48FC}"/>
  </cellStyles>
  <dxfs count="23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7" tint="0.5999938962981048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7" tint="0.5999938962981048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7" tint="0.5999938962981048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7" tint="0.5999938962981048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7" tint="0.59999389629810485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7" tint="0.59999389629810485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'Missingness over time'!$D$1</c:f>
              <c:strCache>
                <c:ptCount val="1"/>
                <c:pt idx="0">
                  <c:v>missing_pct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'Missingness over time'!$A$2:$A$26</c:f>
              <c:numCache>
                <c:formatCode>m/d/yyyy\ h:mm</c:formatCode>
                <c:ptCount val="25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  <c:pt idx="23">
                  <c:v>43344</c:v>
                </c:pt>
                <c:pt idx="24">
                  <c:v>43374</c:v>
                </c:pt>
              </c:numCache>
            </c:numRef>
          </c:cat>
          <c:val>
            <c:numRef>
              <c:f>'Missingness over time'!$D$2:$D$26</c:f>
              <c:numCache>
                <c:formatCode>General</c:formatCode>
                <c:ptCount val="25"/>
                <c:pt idx="0">
                  <c:v>75</c:v>
                </c:pt>
                <c:pt idx="1">
                  <c:v>16.670000000000002</c:v>
                </c:pt>
                <c:pt idx="2">
                  <c:v>0</c:v>
                </c:pt>
                <c:pt idx="3">
                  <c:v>6.25</c:v>
                </c:pt>
                <c:pt idx="4">
                  <c:v>7.13</c:v>
                </c:pt>
                <c:pt idx="5">
                  <c:v>5.07</c:v>
                </c:pt>
                <c:pt idx="6">
                  <c:v>4.2</c:v>
                </c:pt>
                <c:pt idx="7">
                  <c:v>4.1900000000000004</c:v>
                </c:pt>
                <c:pt idx="8">
                  <c:v>3.39</c:v>
                </c:pt>
                <c:pt idx="9">
                  <c:v>3.83</c:v>
                </c:pt>
                <c:pt idx="10">
                  <c:v>3.19</c:v>
                </c:pt>
                <c:pt idx="11">
                  <c:v>3.15</c:v>
                </c:pt>
                <c:pt idx="12">
                  <c:v>3.3</c:v>
                </c:pt>
                <c:pt idx="13">
                  <c:v>3.39</c:v>
                </c:pt>
                <c:pt idx="14">
                  <c:v>2.82</c:v>
                </c:pt>
                <c:pt idx="15">
                  <c:v>2.75</c:v>
                </c:pt>
                <c:pt idx="16">
                  <c:v>2.56</c:v>
                </c:pt>
                <c:pt idx="17">
                  <c:v>2.88</c:v>
                </c:pt>
                <c:pt idx="18">
                  <c:v>2.0299999999999998</c:v>
                </c:pt>
                <c:pt idx="19">
                  <c:v>1.8</c:v>
                </c:pt>
                <c:pt idx="20">
                  <c:v>1.1499999999999999</c:v>
                </c:pt>
                <c:pt idx="21">
                  <c:v>2.16</c:v>
                </c:pt>
                <c:pt idx="22">
                  <c:v>2.4700000000000002</c:v>
                </c:pt>
                <c:pt idx="23">
                  <c:v>100</c:v>
                </c:pt>
                <c:pt idx="2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F-436A-95E0-50808481B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354432"/>
        <c:axId val="1451352992"/>
      </c:lineChart>
      <c:dateAx>
        <c:axId val="1451354432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52992"/>
        <c:crosses val="autoZero"/>
        <c:auto val="1"/>
        <c:lblOffset val="100"/>
        <c:baseTimeUnit val="months"/>
      </c:dateAx>
      <c:valAx>
        <c:axId val="145135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5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'Missingness over time'!$B$1</c:f>
              <c:strCache>
                <c:ptCount val="1"/>
                <c:pt idx="0">
                  <c:v>total_orders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'Missingness over time'!$A$2:$A$26</c:f>
              <c:numCache>
                <c:formatCode>m/d/yyyy\ h:mm</c:formatCode>
                <c:ptCount val="25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  <c:pt idx="23">
                  <c:v>43344</c:v>
                </c:pt>
                <c:pt idx="24">
                  <c:v>43374</c:v>
                </c:pt>
              </c:numCache>
            </c:numRef>
          </c:cat>
          <c:val>
            <c:numRef>
              <c:f>'Missingness over time'!$B$2:$B$26</c:f>
              <c:numCache>
                <c:formatCode>General</c:formatCode>
                <c:ptCount val="25"/>
                <c:pt idx="0">
                  <c:v>4</c:v>
                </c:pt>
                <c:pt idx="1">
                  <c:v>324</c:v>
                </c:pt>
                <c:pt idx="2">
                  <c:v>1</c:v>
                </c:pt>
                <c:pt idx="3">
                  <c:v>800</c:v>
                </c:pt>
                <c:pt idx="4">
                  <c:v>1780</c:v>
                </c:pt>
                <c:pt idx="5">
                  <c:v>2682</c:v>
                </c:pt>
                <c:pt idx="6">
                  <c:v>2404</c:v>
                </c:pt>
                <c:pt idx="7">
                  <c:v>3700</c:v>
                </c:pt>
                <c:pt idx="8">
                  <c:v>3245</c:v>
                </c:pt>
                <c:pt idx="9">
                  <c:v>4026</c:v>
                </c:pt>
                <c:pt idx="10">
                  <c:v>4331</c:v>
                </c:pt>
                <c:pt idx="11">
                  <c:v>4285</c:v>
                </c:pt>
                <c:pt idx="12">
                  <c:v>4631</c:v>
                </c:pt>
                <c:pt idx="13">
                  <c:v>7544</c:v>
                </c:pt>
                <c:pt idx="14">
                  <c:v>5673</c:v>
                </c:pt>
                <c:pt idx="15">
                  <c:v>7269</c:v>
                </c:pt>
                <c:pt idx="16">
                  <c:v>6728</c:v>
                </c:pt>
                <c:pt idx="17">
                  <c:v>7211</c:v>
                </c:pt>
                <c:pt idx="18">
                  <c:v>6939</c:v>
                </c:pt>
                <c:pt idx="19">
                  <c:v>6873</c:v>
                </c:pt>
                <c:pt idx="20">
                  <c:v>6167</c:v>
                </c:pt>
                <c:pt idx="21">
                  <c:v>6292</c:v>
                </c:pt>
                <c:pt idx="22">
                  <c:v>6512</c:v>
                </c:pt>
                <c:pt idx="23">
                  <c:v>16</c:v>
                </c:pt>
                <c:pt idx="2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7F-4ABA-9598-7002F2D97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830272"/>
        <c:axId val="1550828352"/>
      </c:lineChart>
      <c:dateAx>
        <c:axId val="1550830272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828352"/>
        <c:crosses val="autoZero"/>
        <c:auto val="1"/>
        <c:lblOffset val="100"/>
        <c:baseTimeUnit val="months"/>
      </c:dateAx>
      <c:valAx>
        <c:axId val="155082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83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'Missingness over time'!$C$1</c:f>
              <c:strCache>
                <c:ptCount val="1"/>
                <c:pt idx="0">
                  <c:v>missing_delivery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'Missingness over time'!$A$2:$A$26</c:f>
              <c:numCache>
                <c:formatCode>m/d/yyyy\ h:mm</c:formatCode>
                <c:ptCount val="25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  <c:pt idx="23">
                  <c:v>43344</c:v>
                </c:pt>
                <c:pt idx="24">
                  <c:v>43374</c:v>
                </c:pt>
              </c:numCache>
            </c:numRef>
          </c:cat>
          <c:val>
            <c:numRef>
              <c:f>'Missingness over time'!$C$2:$C$26</c:f>
              <c:numCache>
                <c:formatCode>General</c:formatCode>
                <c:ptCount val="25"/>
                <c:pt idx="0">
                  <c:v>3</c:v>
                </c:pt>
                <c:pt idx="1">
                  <c:v>54</c:v>
                </c:pt>
                <c:pt idx="2">
                  <c:v>0</c:v>
                </c:pt>
                <c:pt idx="3">
                  <c:v>50</c:v>
                </c:pt>
                <c:pt idx="4">
                  <c:v>127</c:v>
                </c:pt>
                <c:pt idx="5">
                  <c:v>136</c:v>
                </c:pt>
                <c:pt idx="6">
                  <c:v>101</c:v>
                </c:pt>
                <c:pt idx="7">
                  <c:v>155</c:v>
                </c:pt>
                <c:pt idx="8">
                  <c:v>110</c:v>
                </c:pt>
                <c:pt idx="9">
                  <c:v>154</c:v>
                </c:pt>
                <c:pt idx="10">
                  <c:v>138</c:v>
                </c:pt>
                <c:pt idx="11">
                  <c:v>135</c:v>
                </c:pt>
                <c:pt idx="12">
                  <c:v>153</c:v>
                </c:pt>
                <c:pt idx="13">
                  <c:v>256</c:v>
                </c:pt>
                <c:pt idx="14">
                  <c:v>160</c:v>
                </c:pt>
                <c:pt idx="15">
                  <c:v>200</c:v>
                </c:pt>
                <c:pt idx="16">
                  <c:v>172</c:v>
                </c:pt>
                <c:pt idx="17">
                  <c:v>208</c:v>
                </c:pt>
                <c:pt idx="18">
                  <c:v>141</c:v>
                </c:pt>
                <c:pt idx="19">
                  <c:v>124</c:v>
                </c:pt>
                <c:pt idx="20">
                  <c:v>71</c:v>
                </c:pt>
                <c:pt idx="21">
                  <c:v>136</c:v>
                </c:pt>
                <c:pt idx="22">
                  <c:v>161</c:v>
                </c:pt>
                <c:pt idx="23">
                  <c:v>16</c:v>
                </c:pt>
                <c:pt idx="2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2-4FCE-932E-E669EC144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302656"/>
        <c:axId val="1451303136"/>
      </c:lineChart>
      <c:dateAx>
        <c:axId val="1451302656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03136"/>
        <c:crosses val="autoZero"/>
        <c:auto val="1"/>
        <c:lblOffset val="100"/>
        <c:baseTimeUnit val="months"/>
      </c:dateAx>
      <c:valAx>
        <c:axId val="145130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0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[Brazilian-E-Commerce-helper.xlsx]Category dominance by state!PivotTable1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'Category dominance by state'!$B$3:$B$4</c:f>
              <c:strCache>
                <c:ptCount val="1"/>
                <c:pt idx="0">
                  <c:v>agro_industria_e_comercio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state'!$B$5:$B$19</c:f>
              <c:numCache>
                <c:formatCode>0.00%</c:formatCode>
                <c:ptCount val="14"/>
                <c:pt idx="0">
                  <c:v>1.3276686139139671E-3</c:v>
                </c:pt>
                <c:pt idx="1">
                  <c:v>4.076086956521739E-3</c:v>
                </c:pt>
                <c:pt idx="2">
                  <c:v>0</c:v>
                </c:pt>
                <c:pt idx="3">
                  <c:v>8.9405453732677696E-4</c:v>
                </c:pt>
                <c:pt idx="4">
                  <c:v>3.0224525043177895E-3</c:v>
                </c:pt>
                <c:pt idx="5">
                  <c:v>1.6018306636155606E-3</c:v>
                </c:pt>
                <c:pt idx="6">
                  <c:v>1.9102196752626551E-3</c:v>
                </c:pt>
                <c:pt idx="7">
                  <c:v>1.8744142455482662E-3</c:v>
                </c:pt>
                <c:pt idx="8">
                  <c:v>2.7839643652561247E-3</c:v>
                </c:pt>
                <c:pt idx="9">
                  <c:v>2.0920502092050207E-3</c:v>
                </c:pt>
                <c:pt idx="10">
                  <c:v>1.9353055017970694E-3</c:v>
                </c:pt>
                <c:pt idx="11">
                  <c:v>1.4365522745411015E-3</c:v>
                </c:pt>
                <c:pt idx="12">
                  <c:v>7.2184793070259861E-4</c:v>
                </c:pt>
                <c:pt idx="13">
                  <c:v>2.0042616932846686E-3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A-41C6-977F-BFB511DFD1A1}"/>
            </c:ext>
          </c:extLst>
        </c:ser>
        <c:ser>
          <c:idx val="1"/>
          <c:order val="1"/>
          <c:tx>
            <c:strRef>
              <c:f>'Category dominance by state'!$C$3:$C$4</c:f>
              <c:strCache>
                <c:ptCount val="1"/>
                <c:pt idx="0">
                  <c:v>alimentos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state'!$C$5:$C$19</c:f>
              <c:numCache>
                <c:formatCode>0.00%</c:formatCode>
                <c:ptCount val="14"/>
                <c:pt idx="0">
                  <c:v>3.7174721189591076E-3</c:v>
                </c:pt>
                <c:pt idx="1">
                  <c:v>3.3967391304347825E-3</c:v>
                </c:pt>
                <c:pt idx="2">
                  <c:v>2.4834437086092716E-3</c:v>
                </c:pt>
                <c:pt idx="3">
                  <c:v>6.2583817612874388E-3</c:v>
                </c:pt>
                <c:pt idx="4">
                  <c:v>3.0224525043177895E-3</c:v>
                </c:pt>
                <c:pt idx="5">
                  <c:v>2.8985507246376812E-3</c:v>
                </c:pt>
                <c:pt idx="6">
                  <c:v>6.6857688634192934E-3</c:v>
                </c:pt>
                <c:pt idx="7">
                  <c:v>0</c:v>
                </c:pt>
                <c:pt idx="8">
                  <c:v>4.4543429844097994E-3</c:v>
                </c:pt>
                <c:pt idx="9">
                  <c:v>5.0557880055788007E-3</c:v>
                </c:pt>
                <c:pt idx="10">
                  <c:v>3.2485485208736523E-3</c:v>
                </c:pt>
                <c:pt idx="11">
                  <c:v>2.0750199521149242E-3</c:v>
                </c:pt>
                <c:pt idx="12">
                  <c:v>3.8498556304138597E-3</c:v>
                </c:pt>
                <c:pt idx="13">
                  <c:v>5.8440051477879279E-3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9A-41C6-977F-BFB511DFD1A1}"/>
            </c:ext>
          </c:extLst>
        </c:ser>
        <c:ser>
          <c:idx val="2"/>
          <c:order val="2"/>
          <c:tx>
            <c:strRef>
              <c:f>'Category dominance by state'!$D$3:$D$4</c:f>
              <c:strCache>
                <c:ptCount val="1"/>
                <c:pt idx="0">
                  <c:v>alimentos_bebidas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state'!$D$5:$D$19</c:f>
              <c:numCache>
                <c:formatCode>0.00%</c:formatCode>
                <c:ptCount val="14"/>
                <c:pt idx="0">
                  <c:v>2.1242697822623472E-3</c:v>
                </c:pt>
                <c:pt idx="1">
                  <c:v>2.717391304347826E-3</c:v>
                </c:pt>
                <c:pt idx="2">
                  <c:v>1.6556291390728477E-3</c:v>
                </c:pt>
                <c:pt idx="3">
                  <c:v>3.1291908806437194E-3</c:v>
                </c:pt>
                <c:pt idx="4">
                  <c:v>0</c:v>
                </c:pt>
                <c:pt idx="5">
                  <c:v>1.983218916857361E-3</c:v>
                </c:pt>
                <c:pt idx="6">
                  <c:v>0</c:v>
                </c:pt>
                <c:pt idx="7">
                  <c:v>9.372071227741331E-4</c:v>
                </c:pt>
                <c:pt idx="8">
                  <c:v>2.7839643652561247E-3</c:v>
                </c:pt>
                <c:pt idx="9">
                  <c:v>2.7894002789400278E-3</c:v>
                </c:pt>
                <c:pt idx="10">
                  <c:v>3.5941387890517005E-3</c:v>
                </c:pt>
                <c:pt idx="11">
                  <c:v>9.5770151636073427E-4</c:v>
                </c:pt>
                <c:pt idx="12">
                  <c:v>7.2184793070259861E-4</c:v>
                </c:pt>
                <c:pt idx="13">
                  <c:v>2.869258845123315E-3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9A-41C6-977F-BFB511DFD1A1}"/>
            </c:ext>
          </c:extLst>
        </c:ser>
        <c:ser>
          <c:idx val="3"/>
          <c:order val="3"/>
          <c:tx>
            <c:strRef>
              <c:f>'Category dominance by state'!$E$3:$E$4</c:f>
              <c:strCache>
                <c:ptCount val="1"/>
                <c:pt idx="0">
                  <c:v>artes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state'!$E$5:$E$19</c:f>
              <c:numCache>
                <c:formatCode>0.00%</c:formatCode>
                <c:ptCount val="14"/>
                <c:pt idx="0">
                  <c:v>2.6553372278279343E-3</c:v>
                </c:pt>
                <c:pt idx="1">
                  <c:v>0</c:v>
                </c:pt>
                <c:pt idx="2">
                  <c:v>2.4834437086092716E-3</c:v>
                </c:pt>
                <c:pt idx="3">
                  <c:v>4.4702726866338848E-4</c:v>
                </c:pt>
                <c:pt idx="4">
                  <c:v>1.7271157167530224E-3</c:v>
                </c:pt>
                <c:pt idx="5">
                  <c:v>1.3729977116704805E-3</c:v>
                </c:pt>
                <c:pt idx="6">
                  <c:v>9.5510983763132757E-4</c:v>
                </c:pt>
                <c:pt idx="7">
                  <c:v>1.8744142455482662E-3</c:v>
                </c:pt>
                <c:pt idx="8">
                  <c:v>5.5679287305122492E-4</c:v>
                </c:pt>
                <c:pt idx="9">
                  <c:v>1.5690376569037657E-3</c:v>
                </c:pt>
                <c:pt idx="10">
                  <c:v>2.2808957699751173E-3</c:v>
                </c:pt>
                <c:pt idx="11">
                  <c:v>1.4365522745411015E-3</c:v>
                </c:pt>
                <c:pt idx="12">
                  <c:v>1.4436958614051972E-3</c:v>
                </c:pt>
                <c:pt idx="13">
                  <c:v>2.0675541678094474E-3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9A-41C6-977F-BFB511DFD1A1}"/>
            </c:ext>
          </c:extLst>
        </c:ser>
        <c:ser>
          <c:idx val="4"/>
          <c:order val="4"/>
          <c:tx>
            <c:strRef>
              <c:f>'Category dominance by state'!$F$3:$F$4</c:f>
              <c:strCache>
                <c:ptCount val="1"/>
                <c:pt idx="0">
                  <c:v>artes_e_artesanato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state'!$F$5:$F$19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4.1390728476821192E-4</c:v>
                </c:pt>
                <c:pt idx="3">
                  <c:v>0</c:v>
                </c:pt>
                <c:pt idx="4">
                  <c:v>0</c:v>
                </c:pt>
                <c:pt idx="5">
                  <c:v>4.5766590389016021E-4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2.4061597690086623E-4</c:v>
                </c:pt>
                <c:pt idx="13">
                  <c:v>3.3755986413215469E-4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9A-41C6-977F-BFB511DFD1A1}"/>
            </c:ext>
          </c:extLst>
        </c:ser>
        <c:ser>
          <c:idx val="5"/>
          <c:order val="5"/>
          <c:tx>
            <c:strRef>
              <c:f>'Category dominance by state'!$G$3:$G$4</c:f>
              <c:strCache>
                <c:ptCount val="1"/>
                <c:pt idx="0">
                  <c:v>artigos_de_festas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state'!$G$5:$G$19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4.1390728476821192E-4</c:v>
                </c:pt>
                <c:pt idx="3">
                  <c:v>8.9405453732677696E-4</c:v>
                </c:pt>
                <c:pt idx="4">
                  <c:v>8.6355785837651119E-4</c:v>
                </c:pt>
                <c:pt idx="5">
                  <c:v>3.8138825324180017E-4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3.4867503486750347E-4</c:v>
                </c:pt>
                <c:pt idx="10">
                  <c:v>4.1470832181365771E-4</c:v>
                </c:pt>
                <c:pt idx="11">
                  <c:v>6.3846767757382277E-4</c:v>
                </c:pt>
                <c:pt idx="12">
                  <c:v>4.8123195380173246E-4</c:v>
                </c:pt>
                <c:pt idx="13">
                  <c:v>3.7975484714867401E-4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9A-41C6-977F-BFB511DFD1A1}"/>
            </c:ext>
          </c:extLst>
        </c:ser>
        <c:ser>
          <c:idx val="6"/>
          <c:order val="6"/>
          <c:tx>
            <c:strRef>
              <c:f>'Category dominance by state'!$H$3:$H$4</c:f>
              <c:strCache>
                <c:ptCount val="1"/>
                <c:pt idx="0">
                  <c:v>artigos_de_natal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state'!$H$5:$H$19</c:f>
              <c:numCache>
                <c:formatCode>0.00%</c:formatCode>
                <c:ptCount val="14"/>
                <c:pt idx="0">
                  <c:v>2.6553372278279343E-3</c:v>
                </c:pt>
                <c:pt idx="1">
                  <c:v>1.358695652173913E-3</c:v>
                </c:pt>
                <c:pt idx="2">
                  <c:v>3.3112582781456954E-3</c:v>
                </c:pt>
                <c:pt idx="3">
                  <c:v>4.4702726866338848E-4</c:v>
                </c:pt>
                <c:pt idx="4">
                  <c:v>1.2953367875647669E-3</c:v>
                </c:pt>
                <c:pt idx="5">
                  <c:v>1.4492753623188406E-3</c:v>
                </c:pt>
                <c:pt idx="6">
                  <c:v>9.5510983763132757E-4</c:v>
                </c:pt>
                <c:pt idx="7">
                  <c:v>0</c:v>
                </c:pt>
                <c:pt idx="8">
                  <c:v>2.2271714922048997E-3</c:v>
                </c:pt>
                <c:pt idx="9">
                  <c:v>1.0460251046025104E-3</c:v>
                </c:pt>
                <c:pt idx="10">
                  <c:v>1.0367708045341444E-3</c:v>
                </c:pt>
                <c:pt idx="11">
                  <c:v>9.5770151636073427E-4</c:v>
                </c:pt>
                <c:pt idx="12">
                  <c:v>3.3686236766121268E-3</c:v>
                </c:pt>
                <c:pt idx="13">
                  <c:v>1.0548745754129835E-3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9A-41C6-977F-BFB511DFD1A1}"/>
            </c:ext>
          </c:extLst>
        </c:ser>
        <c:ser>
          <c:idx val="7"/>
          <c:order val="7"/>
          <c:tx>
            <c:strRef>
              <c:f>'Category dominance by state'!$I$3:$I$4</c:f>
              <c:strCache>
                <c:ptCount val="1"/>
                <c:pt idx="0">
                  <c:v>audio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state'!$I$5:$I$19</c:f>
              <c:numCache>
                <c:formatCode>0.00%</c:formatCode>
                <c:ptCount val="14"/>
                <c:pt idx="0">
                  <c:v>3.7174721189591076E-3</c:v>
                </c:pt>
                <c:pt idx="1">
                  <c:v>3.3967391304347825E-3</c:v>
                </c:pt>
                <c:pt idx="2">
                  <c:v>6.6225165562913907E-3</c:v>
                </c:pt>
                <c:pt idx="3">
                  <c:v>6.2583817612874388E-3</c:v>
                </c:pt>
                <c:pt idx="4">
                  <c:v>3.0224525043177895E-3</c:v>
                </c:pt>
                <c:pt idx="5">
                  <c:v>2.6697177726926011E-3</c:v>
                </c:pt>
                <c:pt idx="6">
                  <c:v>3.8204393505253103E-3</c:v>
                </c:pt>
                <c:pt idx="7">
                  <c:v>9.372071227741331E-4</c:v>
                </c:pt>
                <c:pt idx="8">
                  <c:v>2.2271714922048997E-3</c:v>
                </c:pt>
                <c:pt idx="9">
                  <c:v>3.1380753138075313E-3</c:v>
                </c:pt>
                <c:pt idx="10">
                  <c:v>3.8706110035941388E-3</c:v>
                </c:pt>
                <c:pt idx="11">
                  <c:v>2.5538707102952911E-3</c:v>
                </c:pt>
                <c:pt idx="12">
                  <c:v>2.6467757459095282E-3</c:v>
                </c:pt>
                <c:pt idx="13">
                  <c:v>3.0380387771893921E-3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9A-41C6-977F-BFB511DFD1A1}"/>
            </c:ext>
          </c:extLst>
        </c:ser>
        <c:ser>
          <c:idx val="8"/>
          <c:order val="8"/>
          <c:tx>
            <c:strRef>
              <c:f>'Category dominance by state'!$J$3:$J$4</c:f>
              <c:strCache>
                <c:ptCount val="1"/>
                <c:pt idx="0">
                  <c:v>automotivo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state'!$J$5:$J$19</c:f>
              <c:numCache>
                <c:formatCode>0.00%</c:formatCode>
                <c:ptCount val="14"/>
                <c:pt idx="0">
                  <c:v>4.1688794476898564E-2</c:v>
                </c:pt>
                <c:pt idx="1">
                  <c:v>4.0081521739130432E-2</c:v>
                </c:pt>
                <c:pt idx="2">
                  <c:v>4.677152317880795E-2</c:v>
                </c:pt>
                <c:pt idx="3">
                  <c:v>3.9785426911041574E-2</c:v>
                </c:pt>
                <c:pt idx="4">
                  <c:v>3.4110535405872194E-2</c:v>
                </c:pt>
                <c:pt idx="5">
                  <c:v>3.9206712433257053E-2</c:v>
                </c:pt>
                <c:pt idx="6">
                  <c:v>5.3486150907354348E-2</c:v>
                </c:pt>
                <c:pt idx="7">
                  <c:v>4.9671977507029057E-2</c:v>
                </c:pt>
                <c:pt idx="8">
                  <c:v>4.7884187082405348E-2</c:v>
                </c:pt>
                <c:pt idx="9">
                  <c:v>4.079497907949791E-2</c:v>
                </c:pt>
                <c:pt idx="10">
                  <c:v>2.9997235277854577E-2</c:v>
                </c:pt>
                <c:pt idx="11">
                  <c:v>3.0167597765363128E-2</c:v>
                </c:pt>
                <c:pt idx="12">
                  <c:v>4.3551491819056785E-2</c:v>
                </c:pt>
                <c:pt idx="13">
                  <c:v>3.685731766492964E-2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9A-41C6-977F-BFB511DFD1A1}"/>
            </c:ext>
          </c:extLst>
        </c:ser>
        <c:ser>
          <c:idx val="9"/>
          <c:order val="9"/>
          <c:tx>
            <c:strRef>
              <c:f>'Category dominance by state'!$K$3:$K$4</c:f>
              <c:strCache>
                <c:ptCount val="1"/>
                <c:pt idx="0">
                  <c:v>bebes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state'!$K$5:$K$19</c:f>
              <c:numCache>
                <c:formatCode>0.00%</c:formatCode>
                <c:ptCount val="14"/>
                <c:pt idx="0">
                  <c:v>2.5491237387148168E-2</c:v>
                </c:pt>
                <c:pt idx="1">
                  <c:v>2.1059782608695652E-2</c:v>
                </c:pt>
                <c:pt idx="2">
                  <c:v>2.8145695364238412E-2</c:v>
                </c:pt>
                <c:pt idx="3">
                  <c:v>2.7715690657130084E-2</c:v>
                </c:pt>
                <c:pt idx="4">
                  <c:v>2.4179620034542316E-2</c:v>
                </c:pt>
                <c:pt idx="5">
                  <c:v>2.8375286041189933E-2</c:v>
                </c:pt>
                <c:pt idx="6">
                  <c:v>3.3428844317096466E-2</c:v>
                </c:pt>
                <c:pt idx="7">
                  <c:v>4.1237113402061855E-2</c:v>
                </c:pt>
                <c:pt idx="8">
                  <c:v>2.2271714922048998E-2</c:v>
                </c:pt>
                <c:pt idx="9">
                  <c:v>2.7545327754532774E-2</c:v>
                </c:pt>
                <c:pt idx="10">
                  <c:v>2.4536909040641416E-2</c:v>
                </c:pt>
                <c:pt idx="11">
                  <c:v>3.3679169992019156E-2</c:v>
                </c:pt>
                <c:pt idx="12">
                  <c:v>2.6708373435996149E-2</c:v>
                </c:pt>
                <c:pt idx="13">
                  <c:v>2.6730521740964998E-2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29A-41C6-977F-BFB511DFD1A1}"/>
            </c:ext>
          </c:extLst>
        </c:ser>
        <c:ser>
          <c:idx val="10"/>
          <c:order val="10"/>
          <c:tx>
            <c:strRef>
              <c:f>'Category dominance by state'!$L$3:$L$4</c:f>
              <c:strCache>
                <c:ptCount val="1"/>
                <c:pt idx="0">
                  <c:v>bebidas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state'!$L$5:$L$19</c:f>
              <c:numCache>
                <c:formatCode>0.00%</c:formatCode>
                <c:ptCount val="14"/>
                <c:pt idx="0">
                  <c:v>1.3276686139139671E-3</c:v>
                </c:pt>
                <c:pt idx="1">
                  <c:v>2.0380434782608695E-3</c:v>
                </c:pt>
                <c:pt idx="2">
                  <c:v>2.0695364238410598E-3</c:v>
                </c:pt>
                <c:pt idx="3">
                  <c:v>2.2351363433169421E-3</c:v>
                </c:pt>
                <c:pt idx="4">
                  <c:v>3.0224525043177895E-3</c:v>
                </c:pt>
                <c:pt idx="5">
                  <c:v>1.983218916857361E-3</c:v>
                </c:pt>
                <c:pt idx="6">
                  <c:v>9.5510983763132757E-4</c:v>
                </c:pt>
                <c:pt idx="7">
                  <c:v>9.372071227741331E-4</c:v>
                </c:pt>
                <c:pt idx="8">
                  <c:v>0</c:v>
                </c:pt>
                <c:pt idx="9">
                  <c:v>2.615062761506276E-3</c:v>
                </c:pt>
                <c:pt idx="10">
                  <c:v>3.801492949958529E-3</c:v>
                </c:pt>
                <c:pt idx="11">
                  <c:v>2.8731045490822029E-3</c:v>
                </c:pt>
                <c:pt idx="12">
                  <c:v>3.3686236766121268E-3</c:v>
                </c:pt>
                <c:pt idx="13">
                  <c:v>4.5359606742758282E-3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9A-41C6-977F-BFB511DFD1A1}"/>
            </c:ext>
          </c:extLst>
        </c:ser>
        <c:ser>
          <c:idx val="11"/>
          <c:order val="11"/>
          <c:tx>
            <c:strRef>
              <c:f>'Category dominance by state'!$M$3:$M$4</c:f>
              <c:strCache>
                <c:ptCount val="1"/>
                <c:pt idx="0">
                  <c:v>beleza_saude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state'!$M$5:$M$19</c:f>
              <c:numCache>
                <c:formatCode>0.00%</c:formatCode>
                <c:ptCount val="14"/>
                <c:pt idx="0">
                  <c:v>9.1874668082846528E-2</c:v>
                </c:pt>
                <c:pt idx="1">
                  <c:v>0.11209239130434782</c:v>
                </c:pt>
                <c:pt idx="2">
                  <c:v>0.10140728476821192</c:v>
                </c:pt>
                <c:pt idx="3">
                  <c:v>7.3312472060795705E-2</c:v>
                </c:pt>
                <c:pt idx="4">
                  <c:v>9.9309153713298792E-2</c:v>
                </c:pt>
                <c:pt idx="5">
                  <c:v>8.24561403508772E-2</c:v>
                </c:pt>
                <c:pt idx="6">
                  <c:v>8.5959885386819479E-2</c:v>
                </c:pt>
                <c:pt idx="7">
                  <c:v>0.10121836925960637</c:v>
                </c:pt>
                <c:pt idx="8">
                  <c:v>0.1319599109131403</c:v>
                </c:pt>
                <c:pt idx="9">
                  <c:v>7.3744769874476992E-2</c:v>
                </c:pt>
                <c:pt idx="10">
                  <c:v>7.3265136853746193E-2</c:v>
                </c:pt>
                <c:pt idx="11">
                  <c:v>7.1189146049481247E-2</c:v>
                </c:pt>
                <c:pt idx="12">
                  <c:v>7.3869104908565936E-2</c:v>
                </c:pt>
                <c:pt idx="13">
                  <c:v>8.8377391928099749E-2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29A-41C6-977F-BFB511DFD1A1}"/>
            </c:ext>
          </c:extLst>
        </c:ser>
        <c:ser>
          <c:idx val="12"/>
          <c:order val="12"/>
          <c:tx>
            <c:strRef>
              <c:f>'Category dominance by state'!$N$3:$N$4</c:f>
              <c:strCache>
                <c:ptCount val="1"/>
                <c:pt idx="0">
                  <c:v>brinquedos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state'!$N$5:$N$19</c:f>
              <c:numCache>
                <c:formatCode>0.00%</c:formatCode>
                <c:ptCount val="14"/>
                <c:pt idx="0">
                  <c:v>3.0801911842804036E-2</c:v>
                </c:pt>
                <c:pt idx="1">
                  <c:v>4.4157608695652176E-2</c:v>
                </c:pt>
                <c:pt idx="2">
                  <c:v>4.0149006622516553E-2</c:v>
                </c:pt>
                <c:pt idx="3">
                  <c:v>4.2914617791685296E-2</c:v>
                </c:pt>
                <c:pt idx="4">
                  <c:v>3.5837651122625214E-2</c:v>
                </c:pt>
                <c:pt idx="5">
                  <c:v>3.7528604118993135E-2</c:v>
                </c:pt>
                <c:pt idx="6">
                  <c:v>4.2024832855778411E-2</c:v>
                </c:pt>
                <c:pt idx="7">
                  <c:v>2.7179006560449859E-2</c:v>
                </c:pt>
                <c:pt idx="8">
                  <c:v>3.5634743875278395E-2</c:v>
                </c:pt>
                <c:pt idx="9">
                  <c:v>3.5216178521617854E-2</c:v>
                </c:pt>
                <c:pt idx="10">
                  <c:v>4.008847110865358E-2</c:v>
                </c:pt>
                <c:pt idx="11">
                  <c:v>3.3679169992019156E-2</c:v>
                </c:pt>
                <c:pt idx="12">
                  <c:v>2.8633301251203079E-2</c:v>
                </c:pt>
                <c:pt idx="13">
                  <c:v>3.5907930547057952E-2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29A-41C6-977F-BFB511DFD1A1}"/>
            </c:ext>
          </c:extLst>
        </c:ser>
        <c:ser>
          <c:idx val="13"/>
          <c:order val="13"/>
          <c:tx>
            <c:strRef>
              <c:f>'Category dominance by state'!$O$3:$O$4</c:f>
              <c:strCache>
                <c:ptCount val="1"/>
                <c:pt idx="0">
                  <c:v>cama_mesa_banho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state'!$O$5:$O$19</c:f>
              <c:numCache>
                <c:formatCode>0.00%</c:formatCode>
                <c:ptCount val="14"/>
                <c:pt idx="0">
                  <c:v>6.8507700477960704E-2</c:v>
                </c:pt>
                <c:pt idx="1">
                  <c:v>5.6385869565217392E-2</c:v>
                </c:pt>
                <c:pt idx="2">
                  <c:v>8.8162251655629145E-2</c:v>
                </c:pt>
                <c:pt idx="3">
                  <c:v>0.10102816271792579</c:v>
                </c:pt>
                <c:pt idx="4">
                  <c:v>0.1040587219343696</c:v>
                </c:pt>
                <c:pt idx="5">
                  <c:v>0.10175438596491228</c:v>
                </c:pt>
                <c:pt idx="6">
                  <c:v>6.6857688634192933E-2</c:v>
                </c:pt>
                <c:pt idx="7">
                  <c:v>3.5613870665417061E-2</c:v>
                </c:pt>
                <c:pt idx="8">
                  <c:v>5.0111358574610243E-2</c:v>
                </c:pt>
                <c:pt idx="9">
                  <c:v>8.1938633193863325E-2</c:v>
                </c:pt>
                <c:pt idx="10">
                  <c:v>0.11197124688968758</c:v>
                </c:pt>
                <c:pt idx="11">
                  <c:v>9.8962490023942543E-2</c:v>
                </c:pt>
                <c:pt idx="12">
                  <c:v>8.0365736284889314E-2</c:v>
                </c:pt>
                <c:pt idx="13">
                  <c:v>0.11097280533344585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29A-41C6-977F-BFB511DFD1A1}"/>
            </c:ext>
          </c:extLst>
        </c:ser>
        <c:ser>
          <c:idx val="14"/>
          <c:order val="14"/>
          <c:tx>
            <c:strRef>
              <c:f>'Category dominance by state'!$P$3:$P$4</c:f>
              <c:strCache>
                <c:ptCount val="1"/>
                <c:pt idx="0">
                  <c:v>casa_conforto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state'!$P$5:$P$19</c:f>
              <c:numCache>
                <c:formatCode>0.00%</c:formatCode>
                <c:ptCount val="14"/>
                <c:pt idx="0">
                  <c:v>3.186404673393521E-3</c:v>
                </c:pt>
                <c:pt idx="1">
                  <c:v>2.717391304347826E-3</c:v>
                </c:pt>
                <c:pt idx="2">
                  <c:v>2.8973509933774835E-3</c:v>
                </c:pt>
                <c:pt idx="3">
                  <c:v>5.364327223960662E-3</c:v>
                </c:pt>
                <c:pt idx="4">
                  <c:v>3.4542314335060447E-3</c:v>
                </c:pt>
                <c:pt idx="5">
                  <c:v>4.5003813882532415E-3</c:v>
                </c:pt>
                <c:pt idx="6">
                  <c:v>3.8204393505253103E-3</c:v>
                </c:pt>
                <c:pt idx="7">
                  <c:v>0</c:v>
                </c:pt>
                <c:pt idx="8">
                  <c:v>4.4543429844097994E-3</c:v>
                </c:pt>
                <c:pt idx="9">
                  <c:v>2.2663877266387725E-3</c:v>
                </c:pt>
                <c:pt idx="10">
                  <c:v>4.1470832181365776E-3</c:v>
                </c:pt>
                <c:pt idx="11">
                  <c:v>3.3519553072625698E-3</c:v>
                </c:pt>
                <c:pt idx="12">
                  <c:v>2.8873917228103944E-3</c:v>
                </c:pt>
                <c:pt idx="13">
                  <c:v>4.2827907761767122E-3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29A-41C6-977F-BFB511DFD1A1}"/>
            </c:ext>
          </c:extLst>
        </c:ser>
        <c:ser>
          <c:idx val="15"/>
          <c:order val="15"/>
          <c:tx>
            <c:strRef>
              <c:f>'Category dominance by state'!$Q$3:$Q$4</c:f>
              <c:strCache>
                <c:ptCount val="1"/>
                <c:pt idx="0">
                  <c:v>casa_conforto_2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state'!$Q$5:$Q$19</c:f>
              <c:numCache>
                <c:formatCode>0.00%</c:formatCode>
                <c:ptCount val="14"/>
                <c:pt idx="0">
                  <c:v>2.6553372278279339E-4</c:v>
                </c:pt>
                <c:pt idx="1">
                  <c:v>0</c:v>
                </c:pt>
                <c:pt idx="2">
                  <c:v>0</c:v>
                </c:pt>
                <c:pt idx="3">
                  <c:v>4.4702726866338848E-4</c:v>
                </c:pt>
                <c:pt idx="4">
                  <c:v>2.1588946459412781E-3</c:v>
                </c:pt>
                <c:pt idx="5">
                  <c:v>2.288329519450801E-4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1.7433751743375174E-4</c:v>
                </c:pt>
                <c:pt idx="10">
                  <c:v>6.9118053635609623E-5</c:v>
                </c:pt>
                <c:pt idx="11">
                  <c:v>1.5961691939345569E-4</c:v>
                </c:pt>
                <c:pt idx="12">
                  <c:v>0</c:v>
                </c:pt>
                <c:pt idx="13">
                  <c:v>2.9536488111563537E-4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29A-41C6-977F-BFB511DFD1A1}"/>
            </c:ext>
          </c:extLst>
        </c:ser>
        <c:ser>
          <c:idx val="16"/>
          <c:order val="16"/>
          <c:tx>
            <c:strRef>
              <c:f>'Category dominance by state'!$R$3:$R$4</c:f>
              <c:strCache>
                <c:ptCount val="1"/>
                <c:pt idx="0">
                  <c:v>casa_construcao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state'!$R$5:$R$19</c:f>
              <c:numCache>
                <c:formatCode>0.00%</c:formatCode>
                <c:ptCount val="14"/>
                <c:pt idx="0">
                  <c:v>3.7174721189591076E-3</c:v>
                </c:pt>
                <c:pt idx="1">
                  <c:v>6.793478260869565E-3</c:v>
                </c:pt>
                <c:pt idx="2">
                  <c:v>2.8973509933774835E-3</c:v>
                </c:pt>
                <c:pt idx="3">
                  <c:v>6.7054090299508273E-3</c:v>
                </c:pt>
                <c:pt idx="4">
                  <c:v>5.6131260794473233E-3</c:v>
                </c:pt>
                <c:pt idx="5">
                  <c:v>4.5766590389016018E-3</c:v>
                </c:pt>
                <c:pt idx="6">
                  <c:v>6.6857688634192934E-3</c:v>
                </c:pt>
                <c:pt idx="7">
                  <c:v>1.8744142455482662E-3</c:v>
                </c:pt>
                <c:pt idx="8">
                  <c:v>3.8975501113585748E-3</c:v>
                </c:pt>
                <c:pt idx="9">
                  <c:v>4.1841004184100415E-3</c:v>
                </c:pt>
                <c:pt idx="10">
                  <c:v>4.9073818081282828E-3</c:v>
                </c:pt>
                <c:pt idx="11">
                  <c:v>6.8635275339185954E-3</c:v>
                </c:pt>
                <c:pt idx="12">
                  <c:v>6.0153994225216551E-3</c:v>
                </c:pt>
                <c:pt idx="13">
                  <c:v>5.6541277242135911E-3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29A-41C6-977F-BFB511DFD1A1}"/>
            </c:ext>
          </c:extLst>
        </c:ser>
        <c:ser>
          <c:idx val="17"/>
          <c:order val="17"/>
          <c:tx>
            <c:strRef>
              <c:f>'Category dominance by state'!$S$3:$S$4</c:f>
              <c:strCache>
                <c:ptCount val="1"/>
                <c:pt idx="0">
                  <c:v>cds_dvds_musicais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state'!$S$5:$S$19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1.3823610727121925E-4</c:v>
                </c:pt>
                <c:pt idx="11">
                  <c:v>7.9808459696727857E-4</c:v>
                </c:pt>
                <c:pt idx="12">
                  <c:v>0</c:v>
                </c:pt>
                <c:pt idx="13">
                  <c:v>1.26584949049558E-4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29A-41C6-977F-BFB511DFD1A1}"/>
            </c:ext>
          </c:extLst>
        </c:ser>
        <c:ser>
          <c:idx val="18"/>
          <c:order val="18"/>
          <c:tx>
            <c:strRef>
              <c:f>'Category dominance by state'!$T$3:$T$4</c:f>
              <c:strCache>
                <c:ptCount val="1"/>
                <c:pt idx="0">
                  <c:v>cine_foto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state'!$T$5:$T$19</c:f>
              <c:numCache>
                <c:formatCode>0.00%</c:formatCode>
                <c:ptCount val="14"/>
                <c:pt idx="0">
                  <c:v>7.9660116834838024E-4</c:v>
                </c:pt>
                <c:pt idx="1">
                  <c:v>0</c:v>
                </c:pt>
                <c:pt idx="2">
                  <c:v>4.1390728476821192E-4</c:v>
                </c:pt>
                <c:pt idx="3">
                  <c:v>4.4702726866338848E-4</c:v>
                </c:pt>
                <c:pt idx="4">
                  <c:v>4.3177892918825559E-4</c:v>
                </c:pt>
                <c:pt idx="5">
                  <c:v>4.5766590389016021E-4</c:v>
                </c:pt>
                <c:pt idx="6">
                  <c:v>9.5510983763132757E-4</c:v>
                </c:pt>
                <c:pt idx="7">
                  <c:v>2.8116213683223993E-3</c:v>
                </c:pt>
                <c:pt idx="8">
                  <c:v>5.5679287305122492E-4</c:v>
                </c:pt>
                <c:pt idx="9">
                  <c:v>3.4867503486750347E-4</c:v>
                </c:pt>
                <c:pt idx="10">
                  <c:v>3.4559026817804813E-4</c:v>
                </c:pt>
                <c:pt idx="11">
                  <c:v>1.9154030327214685E-3</c:v>
                </c:pt>
                <c:pt idx="12">
                  <c:v>9.6246390760346492E-4</c:v>
                </c:pt>
                <c:pt idx="13">
                  <c:v>6.7511972826430938E-4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29A-41C6-977F-BFB511DFD1A1}"/>
            </c:ext>
          </c:extLst>
        </c:ser>
        <c:ser>
          <c:idx val="19"/>
          <c:order val="19"/>
          <c:tx>
            <c:strRef>
              <c:f>'Category dominance by state'!$U$3:$U$4</c:f>
              <c:strCache>
                <c:ptCount val="1"/>
                <c:pt idx="0">
                  <c:v>climatizacao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state'!$U$5:$U$19</c:f>
              <c:numCache>
                <c:formatCode>0.00%</c:formatCode>
                <c:ptCount val="14"/>
                <c:pt idx="0">
                  <c:v>1.5932023366967605E-3</c:v>
                </c:pt>
                <c:pt idx="1">
                  <c:v>1.358695652173913E-3</c:v>
                </c:pt>
                <c:pt idx="2">
                  <c:v>1.2417218543046358E-3</c:v>
                </c:pt>
                <c:pt idx="3">
                  <c:v>2.2351363433169421E-3</c:v>
                </c:pt>
                <c:pt idx="4">
                  <c:v>3.0224525043177895E-3</c:v>
                </c:pt>
                <c:pt idx="5">
                  <c:v>1.5255530129672007E-3</c:v>
                </c:pt>
                <c:pt idx="6">
                  <c:v>4.7755491881566383E-3</c:v>
                </c:pt>
                <c:pt idx="7">
                  <c:v>0</c:v>
                </c:pt>
                <c:pt idx="8">
                  <c:v>1.1135857461024498E-3</c:v>
                </c:pt>
                <c:pt idx="9">
                  <c:v>2.0920502092050207E-3</c:v>
                </c:pt>
                <c:pt idx="10">
                  <c:v>4.6309095935858444E-3</c:v>
                </c:pt>
                <c:pt idx="11">
                  <c:v>2.3942537909018356E-3</c:v>
                </c:pt>
                <c:pt idx="12">
                  <c:v>9.6246390760346492E-4</c:v>
                </c:pt>
                <c:pt idx="13">
                  <c:v>2.8903563366315744E-3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29A-41C6-977F-BFB511DFD1A1}"/>
            </c:ext>
          </c:extLst>
        </c:ser>
        <c:ser>
          <c:idx val="20"/>
          <c:order val="20"/>
          <c:tx>
            <c:strRef>
              <c:f>'Category dominance by state'!$V$3:$V$4</c:f>
              <c:strCache>
                <c:ptCount val="1"/>
                <c:pt idx="0">
                  <c:v>consoles_games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state'!$V$5:$V$19</c:f>
              <c:numCache>
                <c:formatCode>0.00%</c:formatCode>
                <c:ptCount val="14"/>
                <c:pt idx="0">
                  <c:v>9.2936802973977699E-3</c:v>
                </c:pt>
                <c:pt idx="1">
                  <c:v>1.0869565217391304E-2</c:v>
                </c:pt>
                <c:pt idx="2">
                  <c:v>1.1589403973509934E-2</c:v>
                </c:pt>
                <c:pt idx="3">
                  <c:v>1.0281627179257935E-2</c:v>
                </c:pt>
                <c:pt idx="4">
                  <c:v>9.4991364421416237E-3</c:v>
                </c:pt>
                <c:pt idx="5">
                  <c:v>1.0144927536231883E-2</c:v>
                </c:pt>
                <c:pt idx="6">
                  <c:v>8.5959885386819486E-3</c:v>
                </c:pt>
                <c:pt idx="7">
                  <c:v>1.3120899718837863E-2</c:v>
                </c:pt>
                <c:pt idx="8">
                  <c:v>1.0579064587973273E-2</c:v>
                </c:pt>
                <c:pt idx="9">
                  <c:v>8.1938633193863325E-3</c:v>
                </c:pt>
                <c:pt idx="10">
                  <c:v>9.6074094553497379E-3</c:v>
                </c:pt>
                <c:pt idx="11">
                  <c:v>9.7366320830007975E-3</c:v>
                </c:pt>
                <c:pt idx="12">
                  <c:v>8.1809432146294509E-3</c:v>
                </c:pt>
                <c:pt idx="13">
                  <c:v>1.0358868330555496E-2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29A-41C6-977F-BFB511DFD1A1}"/>
            </c:ext>
          </c:extLst>
        </c:ser>
        <c:ser>
          <c:idx val="21"/>
          <c:order val="21"/>
          <c:tx>
            <c:strRef>
              <c:f>'Category dominance by state'!$W$3:$W$4</c:f>
              <c:strCache>
                <c:ptCount val="1"/>
                <c:pt idx="0">
                  <c:v>construcao_ferramentas_construcao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state'!$W$5:$W$19</c:f>
              <c:numCache>
                <c:formatCode>0.00%</c:formatCode>
                <c:ptCount val="14"/>
                <c:pt idx="0">
                  <c:v>9.5592140201805637E-3</c:v>
                </c:pt>
                <c:pt idx="1">
                  <c:v>6.793478260869565E-3</c:v>
                </c:pt>
                <c:pt idx="2">
                  <c:v>4.552980132450331E-3</c:v>
                </c:pt>
                <c:pt idx="3">
                  <c:v>5.364327223960662E-3</c:v>
                </c:pt>
                <c:pt idx="4">
                  <c:v>4.7495682210708118E-3</c:v>
                </c:pt>
                <c:pt idx="5">
                  <c:v>9.2295957284515631E-3</c:v>
                </c:pt>
                <c:pt idx="6">
                  <c:v>6.6857688634192934E-3</c:v>
                </c:pt>
                <c:pt idx="7">
                  <c:v>1.8744142455482662E-3</c:v>
                </c:pt>
                <c:pt idx="8">
                  <c:v>6.6815144766146995E-3</c:v>
                </c:pt>
                <c:pt idx="9">
                  <c:v>8.8912133891213396E-3</c:v>
                </c:pt>
                <c:pt idx="10">
                  <c:v>8.2250483826375453E-3</c:v>
                </c:pt>
                <c:pt idx="11">
                  <c:v>7.0231444533120514E-3</c:v>
                </c:pt>
                <c:pt idx="12">
                  <c:v>7.2184793070259861E-3</c:v>
                </c:pt>
                <c:pt idx="13">
                  <c:v>9.0297263655351387E-3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29A-41C6-977F-BFB511DFD1A1}"/>
            </c:ext>
          </c:extLst>
        </c:ser>
        <c:ser>
          <c:idx val="22"/>
          <c:order val="22"/>
          <c:tx>
            <c:strRef>
              <c:f>'Category dominance by state'!$X$3:$X$4</c:f>
              <c:strCache>
                <c:ptCount val="1"/>
                <c:pt idx="0">
                  <c:v>construcao_ferramentas_ferramentas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state'!$X$5:$X$19</c:f>
              <c:numCache>
                <c:formatCode>0.00%</c:formatCode>
                <c:ptCount val="14"/>
                <c:pt idx="0">
                  <c:v>1.3276686139139671E-3</c:v>
                </c:pt>
                <c:pt idx="1">
                  <c:v>6.793478260869565E-4</c:v>
                </c:pt>
                <c:pt idx="2">
                  <c:v>0</c:v>
                </c:pt>
                <c:pt idx="3">
                  <c:v>1.7881090746535539E-3</c:v>
                </c:pt>
                <c:pt idx="4">
                  <c:v>3.0224525043177895E-3</c:v>
                </c:pt>
                <c:pt idx="5">
                  <c:v>1.3729977116704805E-3</c:v>
                </c:pt>
                <c:pt idx="6">
                  <c:v>9.5510983763132757E-4</c:v>
                </c:pt>
                <c:pt idx="7">
                  <c:v>0</c:v>
                </c:pt>
                <c:pt idx="8">
                  <c:v>5.5679287305122492E-4</c:v>
                </c:pt>
                <c:pt idx="9">
                  <c:v>1.0460251046025104E-3</c:v>
                </c:pt>
                <c:pt idx="10">
                  <c:v>6.2206248272048657E-4</c:v>
                </c:pt>
                <c:pt idx="11">
                  <c:v>1.2769353551476455E-3</c:v>
                </c:pt>
                <c:pt idx="12">
                  <c:v>1.203079884504331E-3</c:v>
                </c:pt>
                <c:pt idx="13">
                  <c:v>6.7511972826430938E-4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29A-41C6-977F-BFB511DFD1A1}"/>
            </c:ext>
          </c:extLst>
        </c:ser>
        <c:ser>
          <c:idx val="23"/>
          <c:order val="23"/>
          <c:tx>
            <c:strRef>
              <c:f>'Category dominance by state'!$Y$3:$Y$4</c:f>
              <c:strCache>
                <c:ptCount val="1"/>
                <c:pt idx="0">
                  <c:v>construcao_ferramentas_iluminacao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state'!$Y$5:$Y$19</c:f>
              <c:numCache>
                <c:formatCode>0.00%</c:formatCode>
                <c:ptCount val="14"/>
                <c:pt idx="0">
                  <c:v>1.5932023366967605E-3</c:v>
                </c:pt>
                <c:pt idx="1">
                  <c:v>6.793478260869565E-4</c:v>
                </c:pt>
                <c:pt idx="2">
                  <c:v>1.6556291390728477E-3</c:v>
                </c:pt>
                <c:pt idx="3">
                  <c:v>2.2351363433169421E-3</c:v>
                </c:pt>
                <c:pt idx="4">
                  <c:v>2.1588946459412781E-3</c:v>
                </c:pt>
                <c:pt idx="5">
                  <c:v>2.8985507246376812E-3</c:v>
                </c:pt>
                <c:pt idx="6">
                  <c:v>2.8653295128939827E-3</c:v>
                </c:pt>
                <c:pt idx="7">
                  <c:v>9.372071227741331E-4</c:v>
                </c:pt>
                <c:pt idx="8">
                  <c:v>1.6703786191536749E-3</c:v>
                </c:pt>
                <c:pt idx="9">
                  <c:v>2.2663877266387725E-3</c:v>
                </c:pt>
                <c:pt idx="10">
                  <c:v>1.4514791263478021E-3</c:v>
                </c:pt>
                <c:pt idx="11">
                  <c:v>3.8308060654429371E-3</c:v>
                </c:pt>
                <c:pt idx="12">
                  <c:v>3.3686236766121268E-3</c:v>
                </c:pt>
                <c:pt idx="13">
                  <c:v>3.0380387771893921E-3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29A-41C6-977F-BFB511DFD1A1}"/>
            </c:ext>
          </c:extLst>
        </c:ser>
        <c:ser>
          <c:idx val="24"/>
          <c:order val="24"/>
          <c:tx>
            <c:strRef>
              <c:f>'Category dominance by state'!$Z$3:$Z$4</c:f>
              <c:strCache>
                <c:ptCount val="1"/>
                <c:pt idx="0">
                  <c:v>construcao_ferramentas_jardim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state'!$Z$5:$Z$19</c:f>
              <c:numCache>
                <c:formatCode>0.00%</c:formatCode>
                <c:ptCount val="14"/>
                <c:pt idx="0">
                  <c:v>2.1242697822623472E-3</c:v>
                </c:pt>
                <c:pt idx="1">
                  <c:v>5.434782608695652E-3</c:v>
                </c:pt>
                <c:pt idx="2">
                  <c:v>2.0695364238410598E-3</c:v>
                </c:pt>
                <c:pt idx="3">
                  <c:v>2.2351363433169421E-3</c:v>
                </c:pt>
                <c:pt idx="4">
                  <c:v>2.1588946459412781E-3</c:v>
                </c:pt>
                <c:pt idx="5">
                  <c:v>2.3646071700991608E-3</c:v>
                </c:pt>
                <c:pt idx="6">
                  <c:v>0</c:v>
                </c:pt>
                <c:pt idx="7">
                  <c:v>9.372071227741331E-4</c:v>
                </c:pt>
                <c:pt idx="8">
                  <c:v>3.3407572383073497E-3</c:v>
                </c:pt>
                <c:pt idx="9">
                  <c:v>1.0460251046025104E-3</c:v>
                </c:pt>
                <c:pt idx="10">
                  <c:v>2.6956040917887752E-3</c:v>
                </c:pt>
                <c:pt idx="11">
                  <c:v>1.1173184357541898E-3</c:v>
                </c:pt>
                <c:pt idx="12">
                  <c:v>1.203079884504331E-3</c:v>
                </c:pt>
                <c:pt idx="13">
                  <c:v>2.1097491508259669E-3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29A-41C6-977F-BFB511DFD1A1}"/>
            </c:ext>
          </c:extLst>
        </c:ser>
        <c:ser>
          <c:idx val="25"/>
          <c:order val="25"/>
          <c:tx>
            <c:strRef>
              <c:f>'Category dominance by state'!$AA$3:$AA$4</c:f>
              <c:strCache>
                <c:ptCount val="1"/>
                <c:pt idx="0">
                  <c:v>construcao_ferramentas_seguranca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state'!$AA$5:$AA$19</c:f>
              <c:numCache>
                <c:formatCode>0.00%</c:formatCode>
                <c:ptCount val="14"/>
                <c:pt idx="0">
                  <c:v>1.8587360594795538E-3</c:v>
                </c:pt>
                <c:pt idx="1">
                  <c:v>3.3967391304347825E-3</c:v>
                </c:pt>
                <c:pt idx="2">
                  <c:v>1.2417218543046358E-3</c:v>
                </c:pt>
                <c:pt idx="3">
                  <c:v>0</c:v>
                </c:pt>
                <c:pt idx="4">
                  <c:v>3.0224525043177895E-3</c:v>
                </c:pt>
                <c:pt idx="5">
                  <c:v>2.212051868802441E-3</c:v>
                </c:pt>
                <c:pt idx="6">
                  <c:v>3.8204393505253103E-3</c:v>
                </c:pt>
                <c:pt idx="7">
                  <c:v>0</c:v>
                </c:pt>
                <c:pt idx="8">
                  <c:v>2.2271714922048997E-3</c:v>
                </c:pt>
                <c:pt idx="9">
                  <c:v>3.1380753138075313E-3</c:v>
                </c:pt>
                <c:pt idx="10">
                  <c:v>1.105888858169754E-3</c:v>
                </c:pt>
                <c:pt idx="11">
                  <c:v>1.2769353551476455E-3</c:v>
                </c:pt>
                <c:pt idx="12">
                  <c:v>3.1280076997112606E-3</c:v>
                </c:pt>
                <c:pt idx="13">
                  <c:v>1.392434439545138E-3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29A-41C6-977F-BFB511DFD1A1}"/>
            </c:ext>
          </c:extLst>
        </c:ser>
        <c:ser>
          <c:idx val="26"/>
          <c:order val="26"/>
          <c:tx>
            <c:strRef>
              <c:f>'Category dominance by state'!$AB$3:$AB$4</c:f>
              <c:strCache>
                <c:ptCount val="1"/>
                <c:pt idx="0">
                  <c:v>cool_stuff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state'!$AB$5:$AB$19</c:f>
              <c:numCache>
                <c:formatCode>0.00%</c:formatCode>
                <c:ptCount val="14"/>
                <c:pt idx="0">
                  <c:v>3.8767923526287836E-2</c:v>
                </c:pt>
                <c:pt idx="1">
                  <c:v>3.3967391304347824E-2</c:v>
                </c:pt>
                <c:pt idx="2">
                  <c:v>3.3526490066225163E-2</c:v>
                </c:pt>
                <c:pt idx="3">
                  <c:v>2.9503799731783638E-2</c:v>
                </c:pt>
                <c:pt idx="4">
                  <c:v>4.2746113989637305E-2</c:v>
                </c:pt>
                <c:pt idx="5">
                  <c:v>3.4935163996948897E-2</c:v>
                </c:pt>
                <c:pt idx="6">
                  <c:v>4.3935052531041068E-2</c:v>
                </c:pt>
                <c:pt idx="7">
                  <c:v>4.4048734770384255E-2</c:v>
                </c:pt>
                <c:pt idx="8">
                  <c:v>4.3429844097995544E-2</c:v>
                </c:pt>
                <c:pt idx="9">
                  <c:v>3.7133891213389121E-2</c:v>
                </c:pt>
                <c:pt idx="10">
                  <c:v>3.5664915675974566E-2</c:v>
                </c:pt>
                <c:pt idx="11">
                  <c:v>4.1500399042298484E-2</c:v>
                </c:pt>
                <c:pt idx="12">
                  <c:v>3.8017324350336862E-2</c:v>
                </c:pt>
                <c:pt idx="13">
                  <c:v>2.8650393468216628E-2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29A-41C6-977F-BFB511DFD1A1}"/>
            </c:ext>
          </c:extLst>
        </c:ser>
        <c:ser>
          <c:idx val="27"/>
          <c:order val="27"/>
          <c:tx>
            <c:strRef>
              <c:f>'Category dominance by state'!$AC$3:$AC$4</c:f>
              <c:strCache>
                <c:ptCount val="1"/>
                <c:pt idx="0">
                  <c:v>dvds_blu_ray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state'!$AC$5:$AC$19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1.2417218543046358E-3</c:v>
                </c:pt>
                <c:pt idx="3">
                  <c:v>0</c:v>
                </c:pt>
                <c:pt idx="4">
                  <c:v>4.3177892918825559E-4</c:v>
                </c:pt>
                <c:pt idx="5">
                  <c:v>3.0511060259344014E-4</c:v>
                </c:pt>
                <c:pt idx="6">
                  <c:v>0</c:v>
                </c:pt>
                <c:pt idx="7">
                  <c:v>0</c:v>
                </c:pt>
                <c:pt idx="8">
                  <c:v>1.1135857461024498E-3</c:v>
                </c:pt>
                <c:pt idx="9">
                  <c:v>8.7168758716875871E-4</c:v>
                </c:pt>
                <c:pt idx="10">
                  <c:v>8.2941664362731543E-4</c:v>
                </c:pt>
                <c:pt idx="11">
                  <c:v>6.3846767757382277E-4</c:v>
                </c:pt>
                <c:pt idx="12">
                  <c:v>4.8123195380173246E-4</c:v>
                </c:pt>
                <c:pt idx="13">
                  <c:v>4.8524230468997235E-4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29A-41C6-977F-BFB511DFD1A1}"/>
            </c:ext>
          </c:extLst>
        </c:ser>
        <c:ser>
          <c:idx val="28"/>
          <c:order val="28"/>
          <c:tx>
            <c:strRef>
              <c:f>'Category dominance by state'!$AD$3:$AD$4</c:f>
              <c:strCache>
                <c:ptCount val="1"/>
                <c:pt idx="0">
                  <c:v>eletrodomesticos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state'!$AD$5:$AD$19</c:f>
              <c:numCache>
                <c:formatCode>0.00%</c:formatCode>
                <c:ptCount val="14"/>
                <c:pt idx="0">
                  <c:v>1.0621348911311737E-2</c:v>
                </c:pt>
                <c:pt idx="1">
                  <c:v>4.755434782608696E-3</c:v>
                </c:pt>
                <c:pt idx="2">
                  <c:v>6.6225165562913907E-3</c:v>
                </c:pt>
                <c:pt idx="3">
                  <c:v>6.7054090299508273E-3</c:v>
                </c:pt>
                <c:pt idx="4">
                  <c:v>6.044905008635579E-3</c:v>
                </c:pt>
                <c:pt idx="5">
                  <c:v>7.0938215102974832E-3</c:v>
                </c:pt>
                <c:pt idx="6">
                  <c:v>7.6408787010506206E-3</c:v>
                </c:pt>
                <c:pt idx="7">
                  <c:v>9.3720712277413302E-3</c:v>
                </c:pt>
                <c:pt idx="8">
                  <c:v>2.7839643652561247E-3</c:v>
                </c:pt>
                <c:pt idx="9">
                  <c:v>8.0195258019525803E-3</c:v>
                </c:pt>
                <c:pt idx="10">
                  <c:v>6.4279789881116949E-3</c:v>
                </c:pt>
                <c:pt idx="11">
                  <c:v>7.0231444533120514E-3</c:v>
                </c:pt>
                <c:pt idx="12">
                  <c:v>6.0153994225216551E-3</c:v>
                </c:pt>
                <c:pt idx="13">
                  <c:v>7.5739994514652208E-3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29A-41C6-977F-BFB511DFD1A1}"/>
            </c:ext>
          </c:extLst>
        </c:ser>
        <c:ser>
          <c:idx val="29"/>
          <c:order val="29"/>
          <c:tx>
            <c:strRef>
              <c:f>'Category dominance by state'!$AE$3:$AE$4</c:f>
              <c:strCache>
                <c:ptCount val="1"/>
                <c:pt idx="0">
                  <c:v>eletrodomesticos_2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state'!$AE$5:$AE$19</c:f>
              <c:numCache>
                <c:formatCode>0.00%</c:formatCode>
                <c:ptCount val="14"/>
                <c:pt idx="0">
                  <c:v>1.5932023366967605E-3</c:v>
                </c:pt>
                <c:pt idx="1">
                  <c:v>2.0380434782608695E-3</c:v>
                </c:pt>
                <c:pt idx="2">
                  <c:v>2.0695364238410598E-3</c:v>
                </c:pt>
                <c:pt idx="3">
                  <c:v>1.3410818059901655E-3</c:v>
                </c:pt>
                <c:pt idx="4">
                  <c:v>1.2953367875647669E-3</c:v>
                </c:pt>
                <c:pt idx="5">
                  <c:v>1.5255530129672007E-3</c:v>
                </c:pt>
                <c:pt idx="6">
                  <c:v>2.8653295128939827E-3</c:v>
                </c:pt>
                <c:pt idx="7">
                  <c:v>0</c:v>
                </c:pt>
                <c:pt idx="8">
                  <c:v>1.1135857461024498E-3</c:v>
                </c:pt>
                <c:pt idx="9">
                  <c:v>2.7894002789400278E-3</c:v>
                </c:pt>
                <c:pt idx="10">
                  <c:v>3.1103124136024327E-3</c:v>
                </c:pt>
                <c:pt idx="11">
                  <c:v>1.9154030327214685E-3</c:v>
                </c:pt>
                <c:pt idx="12">
                  <c:v>4.0904716073147255E-3</c:v>
                </c:pt>
                <c:pt idx="13">
                  <c:v>1.8776767442351104E-3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29A-41C6-977F-BFB511DFD1A1}"/>
            </c:ext>
          </c:extLst>
        </c:ser>
        <c:ser>
          <c:idx val="30"/>
          <c:order val="30"/>
          <c:tx>
            <c:strRef>
              <c:f>'Category dominance by state'!$AF$3:$AF$4</c:f>
              <c:strCache>
                <c:ptCount val="1"/>
                <c:pt idx="0">
                  <c:v>eletronicos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state'!$AF$5:$AF$19</c:f>
              <c:numCache>
                <c:formatCode>0.00%</c:formatCode>
                <c:ptCount val="14"/>
                <c:pt idx="0">
                  <c:v>2.8677642060541689E-2</c:v>
                </c:pt>
                <c:pt idx="1">
                  <c:v>3.125E-2</c:v>
                </c:pt>
                <c:pt idx="2">
                  <c:v>2.1109271523178808E-2</c:v>
                </c:pt>
                <c:pt idx="3">
                  <c:v>3.4868126955744302E-2</c:v>
                </c:pt>
                <c:pt idx="4">
                  <c:v>1.4248704663212436E-2</c:v>
                </c:pt>
                <c:pt idx="5">
                  <c:v>2.2425629290617848E-2</c:v>
                </c:pt>
                <c:pt idx="6">
                  <c:v>2.4832855778414518E-2</c:v>
                </c:pt>
                <c:pt idx="7">
                  <c:v>2.6241799437675725E-2</c:v>
                </c:pt>
                <c:pt idx="8">
                  <c:v>2.1714922048997772E-2</c:v>
                </c:pt>
                <c:pt idx="9">
                  <c:v>3.1555090655509065E-2</c:v>
                </c:pt>
                <c:pt idx="10">
                  <c:v>2.9928117224218967E-2</c:v>
                </c:pt>
                <c:pt idx="11">
                  <c:v>2.6177174780526734E-2</c:v>
                </c:pt>
                <c:pt idx="12">
                  <c:v>2.9595765158806544E-2</c:v>
                </c:pt>
                <c:pt idx="13">
                  <c:v>2.1097491508259666E-2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29A-41C6-977F-BFB511DFD1A1}"/>
            </c:ext>
          </c:extLst>
        </c:ser>
        <c:ser>
          <c:idx val="31"/>
          <c:order val="31"/>
          <c:tx>
            <c:strRef>
              <c:f>'Category dominance by state'!$AG$3:$AG$4</c:f>
              <c:strCache>
                <c:ptCount val="1"/>
                <c:pt idx="0">
                  <c:v>eletroportateis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state'!$AG$5:$AG$19</c:f>
              <c:numCache>
                <c:formatCode>0.00%</c:formatCode>
                <c:ptCount val="14"/>
                <c:pt idx="0">
                  <c:v>4.7796070100902819E-3</c:v>
                </c:pt>
                <c:pt idx="1">
                  <c:v>5.434782608695652E-3</c:v>
                </c:pt>
                <c:pt idx="2">
                  <c:v>9.9337748344370865E-3</c:v>
                </c:pt>
                <c:pt idx="3">
                  <c:v>1.3410818059901655E-3</c:v>
                </c:pt>
                <c:pt idx="4">
                  <c:v>4.7495682210708118E-3</c:v>
                </c:pt>
                <c:pt idx="5">
                  <c:v>4.9580472921434016E-3</c:v>
                </c:pt>
                <c:pt idx="6">
                  <c:v>7.6408787010506206E-3</c:v>
                </c:pt>
                <c:pt idx="7">
                  <c:v>8.4348641049671984E-3</c:v>
                </c:pt>
                <c:pt idx="8">
                  <c:v>1.6703786191536749E-3</c:v>
                </c:pt>
                <c:pt idx="9">
                  <c:v>7.3221757322175732E-3</c:v>
                </c:pt>
                <c:pt idx="10">
                  <c:v>6.013270666298037E-3</c:v>
                </c:pt>
                <c:pt idx="11">
                  <c:v>7.1827613727055064E-3</c:v>
                </c:pt>
                <c:pt idx="12">
                  <c:v>6.4966313763233875E-3</c:v>
                </c:pt>
                <c:pt idx="13">
                  <c:v>6.4558324015274587E-3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29A-41C6-977F-BFB511DFD1A1}"/>
            </c:ext>
          </c:extLst>
        </c:ser>
        <c:ser>
          <c:idx val="32"/>
          <c:order val="32"/>
          <c:tx>
            <c:strRef>
              <c:f>'Category dominance by state'!$AH$3:$AH$4</c:f>
              <c:strCache>
                <c:ptCount val="1"/>
                <c:pt idx="0">
                  <c:v>esporte_lazer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state'!$AH$5:$AH$19</c:f>
              <c:numCache>
                <c:formatCode>0.00%</c:formatCode>
                <c:ptCount val="14"/>
                <c:pt idx="0">
                  <c:v>7.7801380775358475E-2</c:v>
                </c:pt>
                <c:pt idx="1">
                  <c:v>6.25E-2</c:v>
                </c:pt>
                <c:pt idx="2">
                  <c:v>9.35430463576159E-2</c:v>
                </c:pt>
                <c:pt idx="3">
                  <c:v>7.7335717478766206E-2</c:v>
                </c:pt>
                <c:pt idx="4">
                  <c:v>7.1675302245250427E-2</c:v>
                </c:pt>
                <c:pt idx="5">
                  <c:v>7.3836765827612505E-2</c:v>
                </c:pt>
                <c:pt idx="6">
                  <c:v>7.3543457497612222E-2</c:v>
                </c:pt>
                <c:pt idx="7">
                  <c:v>7.7788191190253042E-2</c:v>
                </c:pt>
                <c:pt idx="8">
                  <c:v>8.184855233853007E-2</c:v>
                </c:pt>
                <c:pt idx="9">
                  <c:v>8.4553695955369601E-2</c:v>
                </c:pt>
                <c:pt idx="10">
                  <c:v>7.1813657727398394E-2</c:v>
                </c:pt>
                <c:pt idx="11">
                  <c:v>7.7094972067039108E-2</c:v>
                </c:pt>
                <c:pt idx="12">
                  <c:v>8.662175168431184E-2</c:v>
                </c:pt>
                <c:pt idx="13">
                  <c:v>7.7343403869279945E-2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29A-41C6-977F-BFB511DFD1A1}"/>
            </c:ext>
          </c:extLst>
        </c:ser>
        <c:ser>
          <c:idx val="33"/>
          <c:order val="33"/>
          <c:tx>
            <c:strRef>
              <c:f>'Category dominance by state'!$AI$3:$AI$4</c:f>
              <c:strCache>
                <c:ptCount val="1"/>
                <c:pt idx="0">
                  <c:v>fashion_bolsas_e_acessorios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state'!$AI$5:$AI$19</c:f>
              <c:numCache>
                <c:formatCode>0.00%</c:formatCode>
                <c:ptCount val="14"/>
                <c:pt idx="0">
                  <c:v>2.1242697822623474E-2</c:v>
                </c:pt>
                <c:pt idx="1">
                  <c:v>2.0380434782608696E-2</c:v>
                </c:pt>
                <c:pt idx="2">
                  <c:v>1.9039735099337748E-2</c:v>
                </c:pt>
                <c:pt idx="3">
                  <c:v>2.2351363433169423E-2</c:v>
                </c:pt>
                <c:pt idx="4">
                  <c:v>1.9430051813471502E-2</c:v>
                </c:pt>
                <c:pt idx="5">
                  <c:v>2.0289855072463767E-2</c:v>
                </c:pt>
                <c:pt idx="6">
                  <c:v>1.3371537726838587E-2</c:v>
                </c:pt>
                <c:pt idx="7">
                  <c:v>2.8116213683223992E-2</c:v>
                </c:pt>
                <c:pt idx="8">
                  <c:v>2.2271714922048998E-2</c:v>
                </c:pt>
                <c:pt idx="9">
                  <c:v>2.0397489539748955E-2</c:v>
                </c:pt>
                <c:pt idx="10">
                  <c:v>1.3754492673486315E-2</c:v>
                </c:pt>
                <c:pt idx="11">
                  <c:v>1.3088587390263367E-2</c:v>
                </c:pt>
                <c:pt idx="12">
                  <c:v>1.9008662175168431E-2</c:v>
                </c:pt>
                <c:pt idx="13">
                  <c:v>1.8186037680119834E-2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929A-41C6-977F-BFB511DFD1A1}"/>
            </c:ext>
          </c:extLst>
        </c:ser>
        <c:ser>
          <c:idx val="34"/>
          <c:order val="34"/>
          <c:tx>
            <c:strRef>
              <c:f>'Category dominance by state'!$AJ$3:$AJ$4</c:f>
              <c:strCache>
                <c:ptCount val="1"/>
                <c:pt idx="0">
                  <c:v>fashion_calcados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state'!$AJ$5:$AJ$19</c:f>
              <c:numCache>
                <c:formatCode>0.00%</c:formatCode>
                <c:ptCount val="14"/>
                <c:pt idx="0">
                  <c:v>1.8587360594795538E-3</c:v>
                </c:pt>
                <c:pt idx="1">
                  <c:v>2.0380434782608695E-3</c:v>
                </c:pt>
                <c:pt idx="2">
                  <c:v>2.8973509933774835E-3</c:v>
                </c:pt>
                <c:pt idx="3">
                  <c:v>2.2351363433169421E-3</c:v>
                </c:pt>
                <c:pt idx="4">
                  <c:v>3.0224525043177895E-3</c:v>
                </c:pt>
                <c:pt idx="5">
                  <c:v>3.2799389778794814E-3</c:v>
                </c:pt>
                <c:pt idx="6">
                  <c:v>2.8653295128939827E-3</c:v>
                </c:pt>
                <c:pt idx="7">
                  <c:v>3.7488284910965324E-3</c:v>
                </c:pt>
                <c:pt idx="8">
                  <c:v>6.124721603563474E-3</c:v>
                </c:pt>
                <c:pt idx="9">
                  <c:v>2.7894002789400278E-3</c:v>
                </c:pt>
                <c:pt idx="10">
                  <c:v>1.9353055017970694E-3</c:v>
                </c:pt>
                <c:pt idx="11">
                  <c:v>1.5961691939345571E-3</c:v>
                </c:pt>
                <c:pt idx="12">
                  <c:v>1.6843118383060634E-3</c:v>
                </c:pt>
                <c:pt idx="13">
                  <c:v>1.9620667102681491E-3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29A-41C6-977F-BFB511DFD1A1}"/>
            </c:ext>
          </c:extLst>
        </c:ser>
        <c:ser>
          <c:idx val="35"/>
          <c:order val="35"/>
          <c:tx>
            <c:strRef>
              <c:f>'Category dominance by state'!$AK$3:$AK$4</c:f>
              <c:strCache>
                <c:ptCount val="1"/>
                <c:pt idx="0">
                  <c:v>fashion_esporte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state'!$AK$5:$AK$19</c:f>
              <c:numCache>
                <c:formatCode>0.00%</c:formatCode>
                <c:ptCount val="14"/>
                <c:pt idx="0">
                  <c:v>5.3106744556558679E-4</c:v>
                </c:pt>
                <c:pt idx="1">
                  <c:v>0</c:v>
                </c:pt>
                <c:pt idx="2">
                  <c:v>8.2781456953642384E-4</c:v>
                </c:pt>
                <c:pt idx="3">
                  <c:v>0</c:v>
                </c:pt>
                <c:pt idx="4">
                  <c:v>0</c:v>
                </c:pt>
                <c:pt idx="5">
                  <c:v>1.5255530129672007E-4</c:v>
                </c:pt>
                <c:pt idx="6">
                  <c:v>0</c:v>
                </c:pt>
                <c:pt idx="7">
                  <c:v>3.7488284910965324E-3</c:v>
                </c:pt>
                <c:pt idx="8">
                  <c:v>0</c:v>
                </c:pt>
                <c:pt idx="9">
                  <c:v>1.7433751743375174E-4</c:v>
                </c:pt>
                <c:pt idx="10">
                  <c:v>1.3823610727121925E-4</c:v>
                </c:pt>
                <c:pt idx="11">
                  <c:v>3.1923383878691139E-4</c:v>
                </c:pt>
                <c:pt idx="12">
                  <c:v>7.2184793070259861E-4</c:v>
                </c:pt>
                <c:pt idx="13">
                  <c:v>2.5316989809911599E-4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29A-41C6-977F-BFB511DFD1A1}"/>
            </c:ext>
          </c:extLst>
        </c:ser>
        <c:ser>
          <c:idx val="36"/>
          <c:order val="36"/>
          <c:tx>
            <c:strRef>
              <c:f>'Category dominance by state'!$AL$3:$AL$4</c:f>
              <c:strCache>
                <c:ptCount val="1"/>
                <c:pt idx="0">
                  <c:v>fashion_roupa_feminina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state'!$AL$5:$AL$19</c:f>
              <c:numCache>
                <c:formatCode>0.00%</c:formatCode>
                <c:ptCount val="14"/>
                <c:pt idx="0">
                  <c:v>2.6553372278279339E-4</c:v>
                </c:pt>
                <c:pt idx="1">
                  <c:v>0</c:v>
                </c:pt>
                <c:pt idx="2">
                  <c:v>4.1390728476821192E-4</c:v>
                </c:pt>
                <c:pt idx="3">
                  <c:v>4.4702726866338848E-4</c:v>
                </c:pt>
                <c:pt idx="4">
                  <c:v>8.6355785837651119E-4</c:v>
                </c:pt>
                <c:pt idx="5">
                  <c:v>5.3394355453852019E-4</c:v>
                </c:pt>
                <c:pt idx="6">
                  <c:v>9.5510983763132757E-4</c:v>
                </c:pt>
                <c:pt idx="7">
                  <c:v>0</c:v>
                </c:pt>
                <c:pt idx="8">
                  <c:v>0</c:v>
                </c:pt>
                <c:pt idx="9">
                  <c:v>3.4867503486750347E-4</c:v>
                </c:pt>
                <c:pt idx="10">
                  <c:v>1.3823610727121925E-4</c:v>
                </c:pt>
                <c:pt idx="11">
                  <c:v>0</c:v>
                </c:pt>
                <c:pt idx="12">
                  <c:v>2.4061597690086623E-4</c:v>
                </c:pt>
                <c:pt idx="13">
                  <c:v>6.3292474524779001E-4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29A-41C6-977F-BFB511DFD1A1}"/>
            </c:ext>
          </c:extLst>
        </c:ser>
        <c:ser>
          <c:idx val="37"/>
          <c:order val="37"/>
          <c:tx>
            <c:strRef>
              <c:f>'Category dominance by state'!$AM$3:$AM$4</c:f>
              <c:strCache>
                <c:ptCount val="1"/>
                <c:pt idx="0">
                  <c:v>fashion_roupa_infanto_juvenil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state'!$AM$5:$AM$19</c:f>
              <c:numCache>
                <c:formatCode>0.00%</c:formatCode>
                <c:ptCount val="14"/>
                <c:pt idx="0">
                  <c:v>2.6553372278279339E-4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6.9118053635609623E-5</c:v>
                </c:pt>
                <c:pt idx="11">
                  <c:v>0</c:v>
                </c:pt>
                <c:pt idx="12">
                  <c:v>4.8123195380173246E-4</c:v>
                </c:pt>
                <c:pt idx="13">
                  <c:v>8.4389966033038673E-5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929A-41C6-977F-BFB511DFD1A1}"/>
            </c:ext>
          </c:extLst>
        </c:ser>
        <c:ser>
          <c:idx val="38"/>
          <c:order val="38"/>
          <c:tx>
            <c:strRef>
              <c:f>'Category dominance by state'!$AN$3:$AN$4</c:f>
              <c:strCache>
                <c:ptCount val="1"/>
                <c:pt idx="0">
                  <c:v>fashion_roupa_masculina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state'!$AN$5:$AN$19</c:f>
              <c:numCache>
                <c:formatCode>0.00%</c:formatCode>
                <c:ptCount val="14"/>
                <c:pt idx="0">
                  <c:v>2.3898035050451409E-3</c:v>
                </c:pt>
                <c:pt idx="1">
                  <c:v>6.793478260869565E-4</c:v>
                </c:pt>
                <c:pt idx="2">
                  <c:v>0</c:v>
                </c:pt>
                <c:pt idx="3">
                  <c:v>8.9405453732677696E-4</c:v>
                </c:pt>
                <c:pt idx="4">
                  <c:v>1.2953367875647669E-3</c:v>
                </c:pt>
                <c:pt idx="5">
                  <c:v>1.5255530129672007E-3</c:v>
                </c:pt>
                <c:pt idx="6">
                  <c:v>9.5510983763132757E-4</c:v>
                </c:pt>
                <c:pt idx="7">
                  <c:v>1.8744142455482662E-3</c:v>
                </c:pt>
                <c:pt idx="8">
                  <c:v>0</c:v>
                </c:pt>
                <c:pt idx="9">
                  <c:v>2.0920502092050207E-3</c:v>
                </c:pt>
                <c:pt idx="10">
                  <c:v>8.2941664362731543E-4</c:v>
                </c:pt>
                <c:pt idx="11">
                  <c:v>1.4365522745411015E-3</c:v>
                </c:pt>
                <c:pt idx="12">
                  <c:v>4.8123195380173246E-4</c:v>
                </c:pt>
                <c:pt idx="13">
                  <c:v>1.202557015970801E-3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29A-41C6-977F-BFB511DFD1A1}"/>
            </c:ext>
          </c:extLst>
        </c:ser>
        <c:ser>
          <c:idx val="39"/>
          <c:order val="39"/>
          <c:tx>
            <c:strRef>
              <c:f>'Category dominance by state'!$AO$3:$AO$4</c:f>
              <c:strCache>
                <c:ptCount val="1"/>
                <c:pt idx="0">
                  <c:v>fashion_underwear_e_moda_praia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state'!$AO$5:$AO$19</c:f>
              <c:numCache>
                <c:formatCode>0.00%</c:formatCode>
                <c:ptCount val="14"/>
                <c:pt idx="0">
                  <c:v>1.5932023366967605E-3</c:v>
                </c:pt>
                <c:pt idx="1">
                  <c:v>0</c:v>
                </c:pt>
                <c:pt idx="2">
                  <c:v>8.2781456953642384E-4</c:v>
                </c:pt>
                <c:pt idx="3">
                  <c:v>4.4702726866338848E-4</c:v>
                </c:pt>
                <c:pt idx="4">
                  <c:v>2.1588946459412781E-3</c:v>
                </c:pt>
                <c:pt idx="5">
                  <c:v>1.2967200610221204E-3</c:v>
                </c:pt>
                <c:pt idx="6">
                  <c:v>9.5510983763132757E-4</c:v>
                </c:pt>
                <c:pt idx="7">
                  <c:v>2.8116213683223993E-3</c:v>
                </c:pt>
                <c:pt idx="8">
                  <c:v>1.1135857461024498E-3</c:v>
                </c:pt>
                <c:pt idx="9">
                  <c:v>1.0460251046025104E-3</c:v>
                </c:pt>
                <c:pt idx="10">
                  <c:v>1.1750069118053636E-3</c:v>
                </c:pt>
                <c:pt idx="11">
                  <c:v>4.7885075818036713E-4</c:v>
                </c:pt>
                <c:pt idx="12">
                  <c:v>1.9249278152069298E-3</c:v>
                </c:pt>
                <c:pt idx="13">
                  <c:v>1.1603620329542817E-3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929A-41C6-977F-BFB511DFD1A1}"/>
            </c:ext>
          </c:extLst>
        </c:ser>
        <c:ser>
          <c:idx val="40"/>
          <c:order val="40"/>
          <c:tx>
            <c:strRef>
              <c:f>'Category dominance by state'!$AP$3:$AP$4</c:f>
              <c:strCache>
                <c:ptCount val="1"/>
                <c:pt idx="0">
                  <c:v>ferramentas_jardim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state'!$AP$5:$AP$19</c:f>
              <c:numCache>
                <c:formatCode>0.00%</c:formatCode>
                <c:ptCount val="14"/>
                <c:pt idx="0">
                  <c:v>4.6202867764206054E-2</c:v>
                </c:pt>
                <c:pt idx="1">
                  <c:v>3.8043478260869568E-2</c:v>
                </c:pt>
                <c:pt idx="2">
                  <c:v>2.3178807947019868E-2</c:v>
                </c:pt>
                <c:pt idx="3">
                  <c:v>4.6490835940992403E-2</c:v>
                </c:pt>
                <c:pt idx="4">
                  <c:v>5.0949913644214161E-2</c:v>
                </c:pt>
                <c:pt idx="5">
                  <c:v>4.6071700991609461E-2</c:v>
                </c:pt>
                <c:pt idx="6">
                  <c:v>5.0620821394460364E-2</c:v>
                </c:pt>
                <c:pt idx="7">
                  <c:v>3.1865042174320526E-2</c:v>
                </c:pt>
                <c:pt idx="8">
                  <c:v>3.6191536748329624E-2</c:v>
                </c:pt>
                <c:pt idx="9">
                  <c:v>3.6436541143654112E-2</c:v>
                </c:pt>
                <c:pt idx="10">
                  <c:v>4.554879734586674E-2</c:v>
                </c:pt>
                <c:pt idx="11">
                  <c:v>4.6448523543495608E-2</c:v>
                </c:pt>
                <c:pt idx="12">
                  <c:v>4.4032723772858516E-2</c:v>
                </c:pt>
                <c:pt idx="13">
                  <c:v>3.2764404312327265E-2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29A-41C6-977F-BFB511DFD1A1}"/>
            </c:ext>
          </c:extLst>
        </c:ser>
        <c:ser>
          <c:idx val="41"/>
          <c:order val="41"/>
          <c:tx>
            <c:strRef>
              <c:f>'Category dominance by state'!$AQ$3:$AQ$4</c:f>
              <c:strCache>
                <c:ptCount val="1"/>
                <c:pt idx="0">
                  <c:v>flores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state'!$AQ$5:$AQ$19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8.9405453732677696E-4</c:v>
                </c:pt>
                <c:pt idx="4">
                  <c:v>4.3177892918825559E-4</c:v>
                </c:pt>
                <c:pt idx="5">
                  <c:v>3.8138825324180017E-4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5.5294442908487699E-4</c:v>
                </c:pt>
                <c:pt idx="11">
                  <c:v>4.7885075818036713E-4</c:v>
                </c:pt>
                <c:pt idx="12">
                  <c:v>0</c:v>
                </c:pt>
                <c:pt idx="13">
                  <c:v>2.3207240659085636E-4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929A-41C6-977F-BFB511DFD1A1}"/>
            </c:ext>
          </c:extLst>
        </c:ser>
        <c:ser>
          <c:idx val="42"/>
          <c:order val="42"/>
          <c:tx>
            <c:strRef>
              <c:f>'Category dominance by state'!$AR$3:$AR$4</c:f>
              <c:strCache>
                <c:ptCount val="1"/>
                <c:pt idx="0">
                  <c:v>fraldas_higiene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state'!$AR$5:$AR$19</c:f>
              <c:numCache>
                <c:formatCode>0.00%</c:formatCode>
                <c:ptCount val="14"/>
                <c:pt idx="0">
                  <c:v>2.6553372278279339E-4</c:v>
                </c:pt>
                <c:pt idx="1">
                  <c:v>6.793478260869565E-4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7.6277650648360034E-5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3.4867503486750347E-4</c:v>
                </c:pt>
                <c:pt idx="10">
                  <c:v>1.3823610727121925E-4</c:v>
                </c:pt>
                <c:pt idx="11">
                  <c:v>0</c:v>
                </c:pt>
                <c:pt idx="12">
                  <c:v>0</c:v>
                </c:pt>
                <c:pt idx="13">
                  <c:v>6.5402223675604975E-4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929A-41C6-977F-BFB511DFD1A1}"/>
            </c:ext>
          </c:extLst>
        </c:ser>
        <c:ser>
          <c:idx val="43"/>
          <c:order val="43"/>
          <c:tx>
            <c:strRef>
              <c:f>'Category dominance by state'!$AS$3:$AS$4</c:f>
              <c:strCache>
                <c:ptCount val="1"/>
                <c:pt idx="0">
                  <c:v>industria_comercio_e_negocios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state'!$AS$5:$AS$19</c:f>
              <c:numCache>
                <c:formatCode>0.00%</c:formatCode>
                <c:ptCount val="14"/>
                <c:pt idx="0">
                  <c:v>1.3276686139139671E-3</c:v>
                </c:pt>
                <c:pt idx="1">
                  <c:v>1.358695652173913E-3</c:v>
                </c:pt>
                <c:pt idx="2">
                  <c:v>2.4834437086092716E-3</c:v>
                </c:pt>
                <c:pt idx="3">
                  <c:v>8.9405453732677696E-4</c:v>
                </c:pt>
                <c:pt idx="4">
                  <c:v>2.1588946459412781E-3</c:v>
                </c:pt>
                <c:pt idx="5">
                  <c:v>1.2967200610221204E-3</c:v>
                </c:pt>
                <c:pt idx="6">
                  <c:v>2.8653295128939827E-3</c:v>
                </c:pt>
                <c:pt idx="7">
                  <c:v>0</c:v>
                </c:pt>
                <c:pt idx="8">
                  <c:v>2.2271714922048997E-3</c:v>
                </c:pt>
                <c:pt idx="9">
                  <c:v>2.0920502092050207E-3</c:v>
                </c:pt>
                <c:pt idx="10">
                  <c:v>1.9353055017970694E-3</c:v>
                </c:pt>
                <c:pt idx="11">
                  <c:v>3.8308060654429371E-3</c:v>
                </c:pt>
                <c:pt idx="12">
                  <c:v>3.609239653512993E-3</c:v>
                </c:pt>
                <c:pt idx="13">
                  <c:v>2.7004789130572375E-3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29A-41C6-977F-BFB511DFD1A1}"/>
            </c:ext>
          </c:extLst>
        </c:ser>
        <c:ser>
          <c:idx val="44"/>
          <c:order val="44"/>
          <c:tx>
            <c:strRef>
              <c:f>'Category dominance by state'!$AT$3:$AT$4</c:f>
              <c:strCache>
                <c:ptCount val="1"/>
                <c:pt idx="0">
                  <c:v>informatica_acessorios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state'!$AT$5:$AT$19</c:f>
              <c:numCache>
                <c:formatCode>0.00%</c:formatCode>
                <c:ptCount val="14"/>
                <c:pt idx="0">
                  <c:v>6.8507700477960704E-2</c:v>
                </c:pt>
                <c:pt idx="1">
                  <c:v>6.5896739130434784E-2</c:v>
                </c:pt>
                <c:pt idx="2">
                  <c:v>6.8294701986754969E-2</c:v>
                </c:pt>
                <c:pt idx="3">
                  <c:v>6.6160035762181491E-2</c:v>
                </c:pt>
                <c:pt idx="4">
                  <c:v>5.3540587219343697E-2</c:v>
                </c:pt>
                <c:pt idx="5">
                  <c:v>7.6277650648360035E-2</c:v>
                </c:pt>
                <c:pt idx="6">
                  <c:v>5.1575931232091692E-2</c:v>
                </c:pt>
                <c:pt idx="7">
                  <c:v>8.4348641049671977E-2</c:v>
                </c:pt>
                <c:pt idx="8">
                  <c:v>5.9020044543429843E-2</c:v>
                </c:pt>
                <c:pt idx="9">
                  <c:v>6.7991631799163177E-2</c:v>
                </c:pt>
                <c:pt idx="10">
                  <c:v>6.8910699474702797E-2</c:v>
                </c:pt>
                <c:pt idx="11">
                  <c:v>7.9010375099760569E-2</c:v>
                </c:pt>
                <c:pt idx="12">
                  <c:v>7.675649663137632E-2</c:v>
                </c:pt>
                <c:pt idx="13">
                  <c:v>6.7279900419840083E-2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29A-41C6-977F-BFB511DFD1A1}"/>
            </c:ext>
          </c:extLst>
        </c:ser>
        <c:ser>
          <c:idx val="45"/>
          <c:order val="45"/>
          <c:tx>
            <c:strRef>
              <c:f>'Category dominance by state'!$AU$3:$AU$4</c:f>
              <c:strCache>
                <c:ptCount val="1"/>
                <c:pt idx="0">
                  <c:v>instrumentos_musicais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state'!$AU$5:$AU$19</c:f>
              <c:numCache>
                <c:formatCode>0.00%</c:formatCode>
                <c:ptCount val="14"/>
                <c:pt idx="0">
                  <c:v>1.0355815188528943E-2</c:v>
                </c:pt>
                <c:pt idx="1">
                  <c:v>4.755434782608696E-3</c:v>
                </c:pt>
                <c:pt idx="2">
                  <c:v>4.1390728476821195E-3</c:v>
                </c:pt>
                <c:pt idx="3">
                  <c:v>9.3875726419311578E-3</c:v>
                </c:pt>
                <c:pt idx="4">
                  <c:v>3.8860103626943004E-3</c:v>
                </c:pt>
                <c:pt idx="5">
                  <c:v>6.0259344012204424E-3</c:v>
                </c:pt>
                <c:pt idx="6">
                  <c:v>5.7306590257879654E-3</c:v>
                </c:pt>
                <c:pt idx="7">
                  <c:v>9.3720712277413302E-3</c:v>
                </c:pt>
                <c:pt idx="8">
                  <c:v>6.124721603563474E-3</c:v>
                </c:pt>
                <c:pt idx="9">
                  <c:v>6.4504881450488149E-3</c:v>
                </c:pt>
                <c:pt idx="10">
                  <c:v>5.3912081835775505E-3</c:v>
                </c:pt>
                <c:pt idx="11">
                  <c:v>5.1077414205905822E-3</c:v>
                </c:pt>
                <c:pt idx="12">
                  <c:v>7.2184793070259861E-3</c:v>
                </c:pt>
                <c:pt idx="13">
                  <c:v>5.6330302327053314E-3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29A-41C6-977F-BFB511DFD1A1}"/>
            </c:ext>
          </c:extLst>
        </c:ser>
        <c:ser>
          <c:idx val="46"/>
          <c:order val="46"/>
          <c:tx>
            <c:strRef>
              <c:f>'Category dominance by state'!$AV$3:$AV$4</c:f>
              <c:strCache>
                <c:ptCount val="1"/>
                <c:pt idx="0">
                  <c:v>la_cuisine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state'!$AV$5:$AV$19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1.5255530129672007E-4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4.7885075818036713E-4</c:v>
                </c:pt>
                <c:pt idx="12">
                  <c:v>4.8123195380173246E-4</c:v>
                </c:pt>
                <c:pt idx="13">
                  <c:v>1.26584949049558E-4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929A-41C6-977F-BFB511DFD1A1}"/>
            </c:ext>
          </c:extLst>
        </c:ser>
        <c:ser>
          <c:idx val="47"/>
          <c:order val="47"/>
          <c:tx>
            <c:strRef>
              <c:f>'Category dominance by state'!$AW$3:$AW$4</c:f>
              <c:strCache>
                <c:ptCount val="1"/>
                <c:pt idx="0">
                  <c:v>livros_importados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state'!$AW$5:$AW$19</c:f>
              <c:numCache>
                <c:formatCode>0.00%</c:formatCode>
                <c:ptCount val="14"/>
                <c:pt idx="0">
                  <c:v>2.6553372278279339E-4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5.3394355453852019E-4</c:v>
                </c:pt>
                <c:pt idx="6">
                  <c:v>0</c:v>
                </c:pt>
                <c:pt idx="7">
                  <c:v>1.8744142455482662E-3</c:v>
                </c:pt>
                <c:pt idx="8">
                  <c:v>0</c:v>
                </c:pt>
                <c:pt idx="9">
                  <c:v>3.4867503486750347E-4</c:v>
                </c:pt>
                <c:pt idx="10">
                  <c:v>4.1470832181365771E-4</c:v>
                </c:pt>
                <c:pt idx="11">
                  <c:v>3.1923383878691139E-4</c:v>
                </c:pt>
                <c:pt idx="12">
                  <c:v>2.4061597690086623E-4</c:v>
                </c:pt>
                <c:pt idx="13">
                  <c:v>7.8060718580560766E-4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929A-41C6-977F-BFB511DFD1A1}"/>
            </c:ext>
          </c:extLst>
        </c:ser>
        <c:ser>
          <c:idx val="48"/>
          <c:order val="48"/>
          <c:tx>
            <c:strRef>
              <c:f>'Category dominance by state'!$AX$3:$AX$4</c:f>
              <c:strCache>
                <c:ptCount val="1"/>
                <c:pt idx="0">
                  <c:v>livros_interesse_geral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state'!$AX$5:$AX$19</c:f>
              <c:numCache>
                <c:formatCode>0.00%</c:formatCode>
                <c:ptCount val="14"/>
                <c:pt idx="0">
                  <c:v>3.7174721189591076E-3</c:v>
                </c:pt>
                <c:pt idx="1">
                  <c:v>4.755434782608696E-3</c:v>
                </c:pt>
                <c:pt idx="2">
                  <c:v>7.4503311258278145E-3</c:v>
                </c:pt>
                <c:pt idx="3">
                  <c:v>4.9172999552972736E-3</c:v>
                </c:pt>
                <c:pt idx="4">
                  <c:v>6.4766839378238338E-3</c:v>
                </c:pt>
                <c:pt idx="5">
                  <c:v>4.0427154843630814E-3</c:v>
                </c:pt>
                <c:pt idx="6">
                  <c:v>1.9102196752626551E-3</c:v>
                </c:pt>
                <c:pt idx="7">
                  <c:v>4.6860356138706651E-3</c:v>
                </c:pt>
                <c:pt idx="8">
                  <c:v>4.4543429844097994E-3</c:v>
                </c:pt>
                <c:pt idx="9">
                  <c:v>6.4504881450488149E-3</c:v>
                </c:pt>
                <c:pt idx="10">
                  <c:v>3.8706110035941388E-3</c:v>
                </c:pt>
                <c:pt idx="11">
                  <c:v>4.4692737430167594E-3</c:v>
                </c:pt>
                <c:pt idx="12">
                  <c:v>5.5341674687199227E-3</c:v>
                </c:pt>
                <c:pt idx="13">
                  <c:v>4.7680330808666845E-3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929A-41C6-977F-BFB511DFD1A1}"/>
            </c:ext>
          </c:extLst>
        </c:ser>
        <c:ser>
          <c:idx val="49"/>
          <c:order val="49"/>
          <c:tx>
            <c:strRef>
              <c:f>'Category dominance by state'!$AY$3:$AY$4</c:f>
              <c:strCache>
                <c:ptCount val="1"/>
                <c:pt idx="0">
                  <c:v>livros_tecnicos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state'!$AY$5:$AY$19</c:f>
              <c:numCache>
                <c:formatCode>0.00%</c:formatCode>
                <c:ptCount val="14"/>
                <c:pt idx="0">
                  <c:v>2.6553372278279343E-3</c:v>
                </c:pt>
                <c:pt idx="1">
                  <c:v>2.0380434782608695E-3</c:v>
                </c:pt>
                <c:pt idx="2">
                  <c:v>2.0695364238410598E-3</c:v>
                </c:pt>
                <c:pt idx="3">
                  <c:v>6.2583817612874388E-3</c:v>
                </c:pt>
                <c:pt idx="4">
                  <c:v>1.2953367875647669E-3</c:v>
                </c:pt>
                <c:pt idx="5">
                  <c:v>2.2883295194508009E-3</c:v>
                </c:pt>
                <c:pt idx="6">
                  <c:v>4.7755491881566383E-3</c:v>
                </c:pt>
                <c:pt idx="7">
                  <c:v>1.8744142455482662E-3</c:v>
                </c:pt>
                <c:pt idx="8">
                  <c:v>2.2271714922048997E-3</c:v>
                </c:pt>
                <c:pt idx="9">
                  <c:v>2.615062761506276E-3</c:v>
                </c:pt>
                <c:pt idx="10">
                  <c:v>1.9353055017970694E-3</c:v>
                </c:pt>
                <c:pt idx="11">
                  <c:v>1.9154030327214685E-3</c:v>
                </c:pt>
                <c:pt idx="12">
                  <c:v>2.406159769008662E-3</c:v>
                </c:pt>
                <c:pt idx="13">
                  <c:v>2.3840165404333423E-3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929A-41C6-977F-BFB511DFD1A1}"/>
            </c:ext>
          </c:extLst>
        </c:ser>
        <c:ser>
          <c:idx val="50"/>
          <c:order val="50"/>
          <c:tx>
            <c:strRef>
              <c:f>'Category dominance by state'!$AZ$3:$AZ$4</c:f>
              <c:strCache>
                <c:ptCount val="1"/>
                <c:pt idx="0">
                  <c:v>malas_acessorios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state'!$AZ$5:$AZ$19</c:f>
              <c:numCache>
                <c:formatCode>0.00%</c:formatCode>
                <c:ptCount val="14"/>
                <c:pt idx="0">
                  <c:v>8.4970791290493886E-3</c:v>
                </c:pt>
                <c:pt idx="1">
                  <c:v>1.6304347826086956E-2</c:v>
                </c:pt>
                <c:pt idx="2">
                  <c:v>9.9337748344370865E-3</c:v>
                </c:pt>
                <c:pt idx="3">
                  <c:v>7.1524362986142157E-3</c:v>
                </c:pt>
                <c:pt idx="4">
                  <c:v>5.1813471502590676E-3</c:v>
                </c:pt>
                <c:pt idx="5">
                  <c:v>1.3958810068649886E-2</c:v>
                </c:pt>
                <c:pt idx="6">
                  <c:v>7.6408787010506206E-3</c:v>
                </c:pt>
                <c:pt idx="7">
                  <c:v>6.5604498594189313E-3</c:v>
                </c:pt>
                <c:pt idx="8">
                  <c:v>7.2383073496659241E-3</c:v>
                </c:pt>
                <c:pt idx="9">
                  <c:v>8.8912133891213396E-3</c:v>
                </c:pt>
                <c:pt idx="10">
                  <c:v>8.2941664362731551E-3</c:v>
                </c:pt>
                <c:pt idx="11">
                  <c:v>8.9385474860335188E-3</c:v>
                </c:pt>
                <c:pt idx="12">
                  <c:v>8.421559191530318E-3</c:v>
                </c:pt>
                <c:pt idx="13">
                  <c:v>9.5782611447498885E-3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929A-41C6-977F-BFB511DFD1A1}"/>
            </c:ext>
          </c:extLst>
        </c:ser>
        <c:ser>
          <c:idx val="51"/>
          <c:order val="51"/>
          <c:tx>
            <c:strRef>
              <c:f>'Category dominance by state'!$BA$3:$BA$4</c:f>
              <c:strCache>
                <c:ptCount val="1"/>
                <c:pt idx="0">
                  <c:v>market_place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state'!$BA$5:$BA$19</c:f>
              <c:numCache>
                <c:formatCode>0.00%</c:formatCode>
                <c:ptCount val="14"/>
                <c:pt idx="0">
                  <c:v>1.0621348911311736E-3</c:v>
                </c:pt>
                <c:pt idx="1">
                  <c:v>2.717391304347826E-3</c:v>
                </c:pt>
                <c:pt idx="2">
                  <c:v>1.6556291390728477E-3</c:v>
                </c:pt>
                <c:pt idx="3">
                  <c:v>3.1291908806437194E-3</c:v>
                </c:pt>
                <c:pt idx="4">
                  <c:v>5.1813471502590676E-3</c:v>
                </c:pt>
                <c:pt idx="5">
                  <c:v>2.517162471395881E-3</c:v>
                </c:pt>
                <c:pt idx="6">
                  <c:v>4.7755491881566383E-3</c:v>
                </c:pt>
                <c:pt idx="7">
                  <c:v>4.6860356138706651E-3</c:v>
                </c:pt>
                <c:pt idx="8">
                  <c:v>2.2271714922048997E-3</c:v>
                </c:pt>
                <c:pt idx="9">
                  <c:v>2.615062761506276E-3</c:v>
                </c:pt>
                <c:pt idx="10">
                  <c:v>2.4882499308819463E-3</c:v>
                </c:pt>
                <c:pt idx="11">
                  <c:v>3.1923383878691143E-3</c:v>
                </c:pt>
                <c:pt idx="12">
                  <c:v>3.3686236766121268E-3</c:v>
                </c:pt>
                <c:pt idx="13">
                  <c:v>2.4684065064663812E-3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929A-41C6-977F-BFB511DFD1A1}"/>
            </c:ext>
          </c:extLst>
        </c:ser>
        <c:ser>
          <c:idx val="52"/>
          <c:order val="52"/>
          <c:tx>
            <c:strRef>
              <c:f>'Category dominance by state'!$BB$3:$BB$4</c:f>
              <c:strCache>
                <c:ptCount val="1"/>
                <c:pt idx="0">
                  <c:v>moveis_colchao_e_estofado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state'!$BB$5:$BB$19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4.1390728476821192E-4</c:v>
                </c:pt>
                <c:pt idx="3">
                  <c:v>0</c:v>
                </c:pt>
                <c:pt idx="4">
                  <c:v>4.3177892918825559E-4</c:v>
                </c:pt>
                <c:pt idx="5">
                  <c:v>2.288329519450801E-4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5.5294442908487699E-4</c:v>
                </c:pt>
                <c:pt idx="11">
                  <c:v>0</c:v>
                </c:pt>
                <c:pt idx="12">
                  <c:v>4.8123195380173246E-4</c:v>
                </c:pt>
                <c:pt idx="13">
                  <c:v>4.6414481318171272E-4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929A-41C6-977F-BFB511DFD1A1}"/>
            </c:ext>
          </c:extLst>
        </c:ser>
        <c:ser>
          <c:idx val="53"/>
          <c:order val="53"/>
          <c:tx>
            <c:strRef>
              <c:f>'Category dominance by state'!$BC$3:$BC$4</c:f>
              <c:strCache>
                <c:ptCount val="1"/>
                <c:pt idx="0">
                  <c:v>moveis_cozinha_area_de_servico_jantar_e_jardim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state'!$BC$5:$BC$19</c:f>
              <c:numCache>
                <c:formatCode>0.00%</c:formatCode>
                <c:ptCount val="14"/>
                <c:pt idx="0">
                  <c:v>7.9660116834838024E-4</c:v>
                </c:pt>
                <c:pt idx="1">
                  <c:v>6.793478260869565E-4</c:v>
                </c:pt>
                <c:pt idx="2">
                  <c:v>2.0695364238410598E-3</c:v>
                </c:pt>
                <c:pt idx="3">
                  <c:v>4.4702726866338848E-4</c:v>
                </c:pt>
                <c:pt idx="4">
                  <c:v>1.7271157167530224E-3</c:v>
                </c:pt>
                <c:pt idx="5">
                  <c:v>2.212051868802441E-3</c:v>
                </c:pt>
                <c:pt idx="6">
                  <c:v>2.8653295128939827E-3</c:v>
                </c:pt>
                <c:pt idx="7">
                  <c:v>9.372071227741331E-4</c:v>
                </c:pt>
                <c:pt idx="8">
                  <c:v>2.2271714922048997E-3</c:v>
                </c:pt>
                <c:pt idx="9">
                  <c:v>2.4407252440725243E-3</c:v>
                </c:pt>
                <c:pt idx="10">
                  <c:v>3.2485485208736523E-3</c:v>
                </c:pt>
                <c:pt idx="11">
                  <c:v>2.0750199521149242E-3</c:v>
                </c:pt>
                <c:pt idx="12">
                  <c:v>1.6843118383060634E-3</c:v>
                </c:pt>
                <c:pt idx="13">
                  <c:v>2.9958437941728726E-3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929A-41C6-977F-BFB511DFD1A1}"/>
            </c:ext>
          </c:extLst>
        </c:ser>
        <c:ser>
          <c:idx val="54"/>
          <c:order val="54"/>
          <c:tx>
            <c:strRef>
              <c:f>'Category dominance by state'!$BD$3:$BD$4</c:f>
              <c:strCache>
                <c:ptCount val="1"/>
                <c:pt idx="0">
                  <c:v>moveis_decoracao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state'!$BD$5:$BD$19</c:f>
              <c:numCache>
                <c:formatCode>0.00%</c:formatCode>
                <c:ptCount val="14"/>
                <c:pt idx="0">
                  <c:v>6.6914498141263934E-2</c:v>
                </c:pt>
                <c:pt idx="1">
                  <c:v>5.9103260869565216E-2</c:v>
                </c:pt>
                <c:pt idx="2">
                  <c:v>6.498344370860927E-2</c:v>
                </c:pt>
                <c:pt idx="3">
                  <c:v>6.4818953956191333E-2</c:v>
                </c:pt>
                <c:pt idx="4">
                  <c:v>5.4404145077720206E-2</c:v>
                </c:pt>
                <c:pt idx="5">
                  <c:v>7.2463768115942032E-2</c:v>
                </c:pt>
                <c:pt idx="6">
                  <c:v>6.4947468958930277E-2</c:v>
                </c:pt>
                <c:pt idx="7">
                  <c:v>6.6541705716963453E-2</c:v>
                </c:pt>
                <c:pt idx="8">
                  <c:v>5.4008908685968818E-2</c:v>
                </c:pt>
                <c:pt idx="9">
                  <c:v>9.2573221757322174E-2</c:v>
                </c:pt>
                <c:pt idx="10">
                  <c:v>7.5131324301907665E-2</c:v>
                </c:pt>
                <c:pt idx="11">
                  <c:v>8.9385474860335198E-2</c:v>
                </c:pt>
                <c:pt idx="12">
                  <c:v>8.4215591915303173E-2</c:v>
                </c:pt>
                <c:pt idx="13">
                  <c:v>7.4537437498681414E-2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929A-41C6-977F-BFB511DFD1A1}"/>
            </c:ext>
          </c:extLst>
        </c:ser>
        <c:ser>
          <c:idx val="55"/>
          <c:order val="55"/>
          <c:tx>
            <c:strRef>
              <c:f>'Category dominance by state'!$BE$3:$BE$4</c:f>
              <c:strCache>
                <c:ptCount val="1"/>
                <c:pt idx="0">
                  <c:v>moveis_escritorio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state'!$BE$5:$BE$19</c:f>
              <c:numCache>
                <c:formatCode>0.00%</c:formatCode>
                <c:ptCount val="14"/>
                <c:pt idx="0">
                  <c:v>2.4694636218799786E-2</c:v>
                </c:pt>
                <c:pt idx="1">
                  <c:v>1.9021739130434784E-2</c:v>
                </c:pt>
                <c:pt idx="2">
                  <c:v>7.8642384105960268E-3</c:v>
                </c:pt>
                <c:pt idx="3">
                  <c:v>1.3410818059901655E-2</c:v>
                </c:pt>
                <c:pt idx="4">
                  <c:v>9.4991364421416237E-3</c:v>
                </c:pt>
                <c:pt idx="5">
                  <c:v>1.2509534706331045E-2</c:v>
                </c:pt>
                <c:pt idx="6">
                  <c:v>1.8147086914995225E-2</c:v>
                </c:pt>
                <c:pt idx="7">
                  <c:v>2.5304592314901592E-2</c:v>
                </c:pt>
                <c:pt idx="8">
                  <c:v>1.1135857461024499E-2</c:v>
                </c:pt>
                <c:pt idx="9">
                  <c:v>1.6213389121338913E-2</c:v>
                </c:pt>
                <c:pt idx="10">
                  <c:v>2.1219242466132153E-2</c:v>
                </c:pt>
                <c:pt idx="11">
                  <c:v>1.1013567438148443E-2</c:v>
                </c:pt>
                <c:pt idx="12">
                  <c:v>1.4918190567853706E-2</c:v>
                </c:pt>
                <c:pt idx="13">
                  <c:v>1.3924344395451382E-2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929A-41C6-977F-BFB511DFD1A1}"/>
            </c:ext>
          </c:extLst>
        </c:ser>
        <c:ser>
          <c:idx val="56"/>
          <c:order val="56"/>
          <c:tx>
            <c:strRef>
              <c:f>'Category dominance by state'!$BF$3:$BF$4</c:f>
              <c:strCache>
                <c:ptCount val="1"/>
                <c:pt idx="0">
                  <c:v>moveis_quarto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state'!$BF$5:$BF$19</c:f>
              <c:numCache>
                <c:formatCode>0.00%</c:formatCode>
                <c:ptCount val="14"/>
                <c:pt idx="0">
                  <c:v>1.0621348911311736E-3</c:v>
                </c:pt>
                <c:pt idx="1">
                  <c:v>0</c:v>
                </c:pt>
                <c:pt idx="2">
                  <c:v>4.1390728476821192E-4</c:v>
                </c:pt>
                <c:pt idx="3">
                  <c:v>4.4702726866338848E-4</c:v>
                </c:pt>
                <c:pt idx="4">
                  <c:v>4.3177892918825559E-4</c:v>
                </c:pt>
                <c:pt idx="5">
                  <c:v>5.3394355453852019E-4</c:v>
                </c:pt>
                <c:pt idx="6">
                  <c:v>1.9102196752626551E-3</c:v>
                </c:pt>
                <c:pt idx="7">
                  <c:v>0</c:v>
                </c:pt>
                <c:pt idx="8">
                  <c:v>5.5679287305122492E-4</c:v>
                </c:pt>
                <c:pt idx="9">
                  <c:v>1.5690376569037657E-3</c:v>
                </c:pt>
                <c:pt idx="10">
                  <c:v>1.3823610727121925E-3</c:v>
                </c:pt>
                <c:pt idx="11">
                  <c:v>4.7885075818036713E-4</c:v>
                </c:pt>
                <c:pt idx="12">
                  <c:v>7.2184793070259861E-4</c:v>
                </c:pt>
                <c:pt idx="13">
                  <c:v>1.0970695584295027E-3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929A-41C6-977F-BFB511DFD1A1}"/>
            </c:ext>
          </c:extLst>
        </c:ser>
        <c:ser>
          <c:idx val="57"/>
          <c:order val="57"/>
          <c:tx>
            <c:strRef>
              <c:f>'Category dominance by state'!$BG$3:$BG$4</c:f>
              <c:strCache>
                <c:ptCount val="1"/>
                <c:pt idx="0">
                  <c:v>moveis_sala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state'!$BG$5:$BG$19</c:f>
              <c:numCache>
                <c:formatCode>0.00%</c:formatCode>
                <c:ptCount val="14"/>
                <c:pt idx="0">
                  <c:v>5.3106744556558685E-3</c:v>
                </c:pt>
                <c:pt idx="1">
                  <c:v>1.358695652173913E-3</c:v>
                </c:pt>
                <c:pt idx="2">
                  <c:v>2.8973509933774835E-3</c:v>
                </c:pt>
                <c:pt idx="3">
                  <c:v>7.5994635672776041E-3</c:v>
                </c:pt>
                <c:pt idx="4">
                  <c:v>4.3177892918825561E-3</c:v>
                </c:pt>
                <c:pt idx="5">
                  <c:v>3.5850495804729213E-3</c:v>
                </c:pt>
                <c:pt idx="6">
                  <c:v>2.8653295128939827E-3</c:v>
                </c:pt>
                <c:pt idx="7">
                  <c:v>9.372071227741331E-4</c:v>
                </c:pt>
                <c:pt idx="8">
                  <c:v>2.2271714922048997E-3</c:v>
                </c:pt>
                <c:pt idx="9">
                  <c:v>2.9637377963737796E-3</c:v>
                </c:pt>
                <c:pt idx="10">
                  <c:v>8.0868122753663257E-3</c:v>
                </c:pt>
                <c:pt idx="11">
                  <c:v>3.8308060654429371E-3</c:v>
                </c:pt>
                <c:pt idx="12">
                  <c:v>2.8873917228103944E-3</c:v>
                </c:pt>
                <c:pt idx="13">
                  <c:v>4.2194983016519338E-3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929A-41C6-977F-BFB511DFD1A1}"/>
            </c:ext>
          </c:extLst>
        </c:ser>
        <c:ser>
          <c:idx val="58"/>
          <c:order val="58"/>
          <c:tx>
            <c:strRef>
              <c:f>'Category dominance by state'!$BH$3:$BH$4</c:f>
              <c:strCache>
                <c:ptCount val="1"/>
                <c:pt idx="0">
                  <c:v>musica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state'!$BH$5:$BH$19</c:f>
              <c:numCache>
                <c:formatCode>0.00%</c:formatCode>
                <c:ptCount val="14"/>
                <c:pt idx="0">
                  <c:v>0</c:v>
                </c:pt>
                <c:pt idx="1">
                  <c:v>6.793478260869565E-4</c:v>
                </c:pt>
                <c:pt idx="2">
                  <c:v>4.1390728476821192E-4</c:v>
                </c:pt>
                <c:pt idx="3">
                  <c:v>0</c:v>
                </c:pt>
                <c:pt idx="4">
                  <c:v>4.3177892918825559E-4</c:v>
                </c:pt>
                <c:pt idx="5">
                  <c:v>4.5766590389016021E-4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1.2203626220362621E-3</c:v>
                </c:pt>
                <c:pt idx="10">
                  <c:v>5.5294442908487699E-4</c:v>
                </c:pt>
                <c:pt idx="11">
                  <c:v>1.5961691939345569E-4</c:v>
                </c:pt>
                <c:pt idx="12">
                  <c:v>0</c:v>
                </c:pt>
                <c:pt idx="13">
                  <c:v>2.5316989809911599E-4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929A-41C6-977F-BFB511DFD1A1}"/>
            </c:ext>
          </c:extLst>
        </c:ser>
        <c:ser>
          <c:idx val="59"/>
          <c:order val="59"/>
          <c:tx>
            <c:strRef>
              <c:f>'Category dominance by state'!$BI$3:$BI$4</c:f>
              <c:strCache>
                <c:ptCount val="1"/>
                <c:pt idx="0">
                  <c:v>papelaria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state'!$BI$5:$BI$19</c:f>
              <c:numCache>
                <c:formatCode>0.00%</c:formatCode>
                <c:ptCount val="14"/>
                <c:pt idx="0">
                  <c:v>2.0446096654275093E-2</c:v>
                </c:pt>
                <c:pt idx="1">
                  <c:v>2.4456521739130436E-2</c:v>
                </c:pt>
                <c:pt idx="2">
                  <c:v>1.9453642384105959E-2</c:v>
                </c:pt>
                <c:pt idx="3">
                  <c:v>2.3245417970496202E-2</c:v>
                </c:pt>
                <c:pt idx="4">
                  <c:v>2.158894645941278E-2</c:v>
                </c:pt>
                <c:pt idx="5">
                  <c:v>2.0900076277650649E-2</c:v>
                </c:pt>
                <c:pt idx="6">
                  <c:v>2.6743075453677174E-2</c:v>
                </c:pt>
                <c:pt idx="7">
                  <c:v>1.9681349578256794E-2</c:v>
                </c:pt>
                <c:pt idx="8">
                  <c:v>2.6726057906458798E-2</c:v>
                </c:pt>
                <c:pt idx="9">
                  <c:v>2.2315202231520222E-2</c:v>
                </c:pt>
                <c:pt idx="10">
                  <c:v>2.2808957699751175E-2</c:v>
                </c:pt>
                <c:pt idx="11">
                  <c:v>2.3623304070231443E-2</c:v>
                </c:pt>
                <c:pt idx="12">
                  <c:v>2.237728585178056E-2</c:v>
                </c:pt>
                <c:pt idx="13">
                  <c:v>2.2300048524230467E-2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929A-41C6-977F-BFB511DFD1A1}"/>
            </c:ext>
          </c:extLst>
        </c:ser>
        <c:ser>
          <c:idx val="60"/>
          <c:order val="60"/>
          <c:tx>
            <c:strRef>
              <c:f>'Category dominance by state'!$BJ$3:$BJ$4</c:f>
              <c:strCache>
                <c:ptCount val="1"/>
                <c:pt idx="0">
                  <c:v>pc_gamer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state'!$BJ$5:$BJ$19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7.6277650648360034E-5</c:v>
                </c:pt>
                <c:pt idx="6">
                  <c:v>0</c:v>
                </c:pt>
                <c:pt idx="7">
                  <c:v>0</c:v>
                </c:pt>
                <c:pt idx="8">
                  <c:v>5.5679287305122492E-4</c:v>
                </c:pt>
                <c:pt idx="9">
                  <c:v>0</c:v>
                </c:pt>
                <c:pt idx="10">
                  <c:v>1.3823610727121925E-4</c:v>
                </c:pt>
                <c:pt idx="11">
                  <c:v>1.5961691939345569E-4</c:v>
                </c:pt>
                <c:pt idx="12">
                  <c:v>0</c:v>
                </c:pt>
                <c:pt idx="13">
                  <c:v>8.4389966033038673E-5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929A-41C6-977F-BFB511DFD1A1}"/>
            </c:ext>
          </c:extLst>
        </c:ser>
        <c:ser>
          <c:idx val="61"/>
          <c:order val="61"/>
          <c:tx>
            <c:strRef>
              <c:f>'Category dominance by state'!$BK$3:$BK$4</c:f>
              <c:strCache>
                <c:ptCount val="1"/>
                <c:pt idx="0">
                  <c:v>pcs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state'!$BK$5:$BK$19</c:f>
              <c:numCache>
                <c:formatCode>0.00%</c:formatCode>
                <c:ptCount val="14"/>
                <c:pt idx="0">
                  <c:v>6.6383430695698357E-3</c:v>
                </c:pt>
                <c:pt idx="1">
                  <c:v>4.076086956521739E-3</c:v>
                </c:pt>
                <c:pt idx="2">
                  <c:v>2.8973509933774835E-3</c:v>
                </c:pt>
                <c:pt idx="3">
                  <c:v>8.9405453732677696E-4</c:v>
                </c:pt>
                <c:pt idx="4">
                  <c:v>2.1588946459412781E-3</c:v>
                </c:pt>
                <c:pt idx="5">
                  <c:v>1.4492753623188406E-3</c:v>
                </c:pt>
                <c:pt idx="6">
                  <c:v>1.9102196752626551E-3</c:v>
                </c:pt>
                <c:pt idx="7">
                  <c:v>3.7488284910965324E-3</c:v>
                </c:pt>
                <c:pt idx="8">
                  <c:v>5.5679287305122494E-3</c:v>
                </c:pt>
                <c:pt idx="9">
                  <c:v>6.9735006973500695E-4</c:v>
                </c:pt>
                <c:pt idx="10">
                  <c:v>1.5205971799834117E-3</c:v>
                </c:pt>
                <c:pt idx="11">
                  <c:v>1.1173184357541898E-3</c:v>
                </c:pt>
                <c:pt idx="12">
                  <c:v>1.203079884504331E-3</c:v>
                </c:pt>
                <c:pt idx="13">
                  <c:v>1.2447519989873205E-3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929A-41C6-977F-BFB511DFD1A1}"/>
            </c:ext>
          </c:extLst>
        </c:ser>
        <c:ser>
          <c:idx val="62"/>
          <c:order val="62"/>
          <c:tx>
            <c:strRef>
              <c:f>'Category dominance by state'!$BL$3:$BL$4</c:f>
              <c:strCache>
                <c:ptCount val="1"/>
                <c:pt idx="0">
                  <c:v>perfumaria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state'!$BL$5:$BL$19</c:f>
              <c:numCache>
                <c:formatCode>0.00%</c:formatCode>
                <c:ptCount val="14"/>
                <c:pt idx="0">
                  <c:v>2.1508231545406268E-2</c:v>
                </c:pt>
                <c:pt idx="1">
                  <c:v>3.872282608695652E-2</c:v>
                </c:pt>
                <c:pt idx="2">
                  <c:v>3.6837748344370862E-2</c:v>
                </c:pt>
                <c:pt idx="3">
                  <c:v>3.0397854269110416E-2</c:v>
                </c:pt>
                <c:pt idx="4">
                  <c:v>4.0155440414507769E-2</c:v>
                </c:pt>
                <c:pt idx="5">
                  <c:v>3.1045003813882532E-2</c:v>
                </c:pt>
                <c:pt idx="6">
                  <c:v>2.865329512893983E-2</c:v>
                </c:pt>
                <c:pt idx="7">
                  <c:v>3.4676663542642927E-2</c:v>
                </c:pt>
                <c:pt idx="8">
                  <c:v>2.7839643652561249E-2</c:v>
                </c:pt>
                <c:pt idx="9">
                  <c:v>2.6673640167364017E-2</c:v>
                </c:pt>
                <c:pt idx="10">
                  <c:v>3.103400608238872E-2</c:v>
                </c:pt>
                <c:pt idx="11">
                  <c:v>2.4581005586592177E-2</c:v>
                </c:pt>
                <c:pt idx="12">
                  <c:v>2.8392685274302214E-2</c:v>
                </c:pt>
                <c:pt idx="13">
                  <c:v>3.1245384923732567E-2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929A-41C6-977F-BFB511DFD1A1}"/>
            </c:ext>
          </c:extLst>
        </c:ser>
        <c:ser>
          <c:idx val="63"/>
          <c:order val="63"/>
          <c:tx>
            <c:strRef>
              <c:f>'Category dominance by state'!$BM$3:$BM$4</c:f>
              <c:strCache>
                <c:ptCount val="1"/>
                <c:pt idx="0">
                  <c:v>pet_shop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state'!$BM$5:$BM$19</c:f>
              <c:numCache>
                <c:formatCode>0.00%</c:formatCode>
                <c:ptCount val="14"/>
                <c:pt idx="0">
                  <c:v>1.5932023366967606E-2</c:v>
                </c:pt>
                <c:pt idx="1">
                  <c:v>8.8315217391304341E-3</c:v>
                </c:pt>
                <c:pt idx="2">
                  <c:v>1.6556291390728478E-2</c:v>
                </c:pt>
                <c:pt idx="3">
                  <c:v>1.1622708985248101E-2</c:v>
                </c:pt>
                <c:pt idx="4">
                  <c:v>1.2089810017271158E-2</c:v>
                </c:pt>
                <c:pt idx="5">
                  <c:v>1.9221967963386728E-2</c:v>
                </c:pt>
                <c:pt idx="6">
                  <c:v>1.5281757402101241E-2</c:v>
                </c:pt>
                <c:pt idx="7">
                  <c:v>1.0309278350515464E-2</c:v>
                </c:pt>
                <c:pt idx="8">
                  <c:v>1.2806236080178173E-2</c:v>
                </c:pt>
                <c:pt idx="9">
                  <c:v>1.5864714086471408E-2</c:v>
                </c:pt>
                <c:pt idx="10">
                  <c:v>1.4998617638927288E-2</c:v>
                </c:pt>
                <c:pt idx="11">
                  <c:v>1.5802075019952115E-2</c:v>
                </c:pt>
                <c:pt idx="12">
                  <c:v>2.045235803657363E-2</c:v>
                </c:pt>
                <c:pt idx="13">
                  <c:v>1.8797864933859366E-2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929A-41C6-977F-BFB511DFD1A1}"/>
            </c:ext>
          </c:extLst>
        </c:ser>
        <c:ser>
          <c:idx val="64"/>
          <c:order val="64"/>
          <c:tx>
            <c:strRef>
              <c:f>'Category dominance by state'!$BN$3:$BN$4</c:f>
              <c:strCache>
                <c:ptCount val="1"/>
                <c:pt idx="0">
                  <c:v>portateis_casa_forno_e_cafe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state'!$BN$5:$BN$19</c:f>
              <c:numCache>
                <c:formatCode>0.00%</c:formatCode>
                <c:ptCount val="14"/>
                <c:pt idx="0">
                  <c:v>7.9660116834838024E-4</c:v>
                </c:pt>
                <c:pt idx="1">
                  <c:v>0</c:v>
                </c:pt>
                <c:pt idx="2">
                  <c:v>4.1390728476821192E-4</c:v>
                </c:pt>
                <c:pt idx="3">
                  <c:v>0</c:v>
                </c:pt>
                <c:pt idx="4">
                  <c:v>0</c:v>
                </c:pt>
                <c:pt idx="5">
                  <c:v>7.6277650648360034E-4</c:v>
                </c:pt>
                <c:pt idx="6">
                  <c:v>9.5510983763132757E-4</c:v>
                </c:pt>
                <c:pt idx="7">
                  <c:v>0</c:v>
                </c:pt>
                <c:pt idx="8">
                  <c:v>5.5679287305122492E-4</c:v>
                </c:pt>
                <c:pt idx="9">
                  <c:v>1.3947001394700139E-3</c:v>
                </c:pt>
                <c:pt idx="10">
                  <c:v>4.8382637544926735E-4</c:v>
                </c:pt>
                <c:pt idx="11">
                  <c:v>4.7885075818036713E-4</c:v>
                </c:pt>
                <c:pt idx="12">
                  <c:v>9.6246390760346492E-4</c:v>
                </c:pt>
                <c:pt idx="13">
                  <c:v>7.384122027890884E-4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29A-41C6-977F-BFB511DFD1A1}"/>
            </c:ext>
          </c:extLst>
        </c:ser>
        <c:ser>
          <c:idx val="65"/>
          <c:order val="65"/>
          <c:tx>
            <c:strRef>
              <c:f>'Category dominance by state'!$BO$3:$BO$4</c:f>
              <c:strCache>
                <c:ptCount val="1"/>
                <c:pt idx="0">
                  <c:v>portateis_cozinha_e_preparadores_de_alimentos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state'!$BO$5:$BO$19</c:f>
              <c:numCache>
                <c:formatCode>0.00%</c:formatCode>
                <c:ptCount val="14"/>
                <c:pt idx="0">
                  <c:v>2.6553372278279339E-4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4.3177892918825559E-4</c:v>
                </c:pt>
                <c:pt idx="5">
                  <c:v>1.5255530129672007E-4</c:v>
                </c:pt>
                <c:pt idx="6">
                  <c:v>0</c:v>
                </c:pt>
                <c:pt idx="7">
                  <c:v>9.372071227741331E-4</c:v>
                </c:pt>
                <c:pt idx="8">
                  <c:v>0</c:v>
                </c:pt>
                <c:pt idx="9">
                  <c:v>0</c:v>
                </c:pt>
                <c:pt idx="10">
                  <c:v>6.9118053635609623E-5</c:v>
                </c:pt>
                <c:pt idx="11">
                  <c:v>1.5961691939345569E-4</c:v>
                </c:pt>
                <c:pt idx="12">
                  <c:v>0</c:v>
                </c:pt>
                <c:pt idx="13">
                  <c:v>1.6877993206607735E-4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929A-41C6-977F-BFB511DFD1A1}"/>
            </c:ext>
          </c:extLst>
        </c:ser>
        <c:ser>
          <c:idx val="66"/>
          <c:order val="66"/>
          <c:tx>
            <c:strRef>
              <c:f>'Category dominance by state'!$BP$3:$BP$4</c:f>
              <c:strCache>
                <c:ptCount val="1"/>
                <c:pt idx="0">
                  <c:v>relogios_presentes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state'!$BP$5:$BP$19</c:f>
              <c:numCache>
                <c:formatCode>0.00%</c:formatCode>
                <c:ptCount val="14"/>
                <c:pt idx="0">
                  <c:v>6.1869357408390863E-2</c:v>
                </c:pt>
                <c:pt idx="1">
                  <c:v>9.1032608695652176E-2</c:v>
                </c:pt>
                <c:pt idx="2">
                  <c:v>6.0430463576158944E-2</c:v>
                </c:pt>
                <c:pt idx="3">
                  <c:v>6.6160035762181491E-2</c:v>
                </c:pt>
                <c:pt idx="4">
                  <c:v>6.3039723661485317E-2</c:v>
                </c:pt>
                <c:pt idx="5">
                  <c:v>4.820747520976354E-2</c:v>
                </c:pt>
                <c:pt idx="6">
                  <c:v>5.8261700095510981E-2</c:v>
                </c:pt>
                <c:pt idx="7">
                  <c:v>7.1227741330834121E-2</c:v>
                </c:pt>
                <c:pt idx="8">
                  <c:v>9.1870824053452121E-2</c:v>
                </c:pt>
                <c:pt idx="9">
                  <c:v>5.3172942817294282E-2</c:v>
                </c:pt>
                <c:pt idx="10">
                  <c:v>5.9787116394802324E-2</c:v>
                </c:pt>
                <c:pt idx="11">
                  <c:v>3.6871508379888271E-2</c:v>
                </c:pt>
                <c:pt idx="12">
                  <c:v>4.4273339749759381E-2</c:v>
                </c:pt>
                <c:pt idx="13">
                  <c:v>4.7912403215257707E-2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929A-41C6-977F-BFB511DFD1A1}"/>
            </c:ext>
          </c:extLst>
        </c:ser>
        <c:ser>
          <c:idx val="67"/>
          <c:order val="67"/>
          <c:tx>
            <c:strRef>
              <c:f>'Category dominance by state'!$BQ$3:$BQ$4</c:f>
              <c:strCache>
                <c:ptCount val="1"/>
                <c:pt idx="0">
                  <c:v>seguros_e_servicos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state'!$BQ$5:$BQ$19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4.1390728476821192E-4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929A-41C6-977F-BFB511DFD1A1}"/>
            </c:ext>
          </c:extLst>
        </c:ser>
        <c:ser>
          <c:idx val="68"/>
          <c:order val="68"/>
          <c:tx>
            <c:strRef>
              <c:f>'Category dominance by state'!$BR$3:$BR$4</c:f>
              <c:strCache>
                <c:ptCount val="1"/>
                <c:pt idx="0">
                  <c:v>sinalizacao_e_seguranca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state'!$BR$5:$BR$19</c:f>
              <c:numCache>
                <c:formatCode>0.00%</c:formatCode>
                <c:ptCount val="14"/>
                <c:pt idx="0">
                  <c:v>1.5932023366967605E-3</c:v>
                </c:pt>
                <c:pt idx="1">
                  <c:v>0</c:v>
                </c:pt>
                <c:pt idx="2">
                  <c:v>1.6556291390728477E-3</c:v>
                </c:pt>
                <c:pt idx="3">
                  <c:v>2.682163611980331E-3</c:v>
                </c:pt>
                <c:pt idx="4">
                  <c:v>2.5906735751295338E-3</c:v>
                </c:pt>
                <c:pt idx="5">
                  <c:v>8.3905415713196032E-4</c:v>
                </c:pt>
                <c:pt idx="6">
                  <c:v>5.7306590257879654E-3</c:v>
                </c:pt>
                <c:pt idx="7">
                  <c:v>2.8116213683223993E-3</c:v>
                </c:pt>
                <c:pt idx="8">
                  <c:v>1.1135857461024498E-3</c:v>
                </c:pt>
                <c:pt idx="9">
                  <c:v>5.2301255230125519E-4</c:v>
                </c:pt>
                <c:pt idx="10">
                  <c:v>1.3132430190765827E-3</c:v>
                </c:pt>
                <c:pt idx="11">
                  <c:v>2.713487629688747E-3</c:v>
                </c:pt>
                <c:pt idx="12">
                  <c:v>2.406159769008662E-3</c:v>
                </c:pt>
                <c:pt idx="13">
                  <c:v>1.9831642017764089E-3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929A-41C6-977F-BFB511DFD1A1}"/>
            </c:ext>
          </c:extLst>
        </c:ser>
        <c:ser>
          <c:idx val="69"/>
          <c:order val="69"/>
          <c:tx>
            <c:strRef>
              <c:f>'Category dominance by state'!$BS$3:$BS$4</c:f>
              <c:strCache>
                <c:ptCount val="1"/>
                <c:pt idx="0">
                  <c:v>tablets_impressao_imagem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state'!$BS$5:$BS$19</c:f>
              <c:numCache>
                <c:formatCode>0.00%</c:formatCode>
                <c:ptCount val="14"/>
                <c:pt idx="0">
                  <c:v>1.5932023366967605E-3</c:v>
                </c:pt>
                <c:pt idx="1">
                  <c:v>6.793478260869565E-4</c:v>
                </c:pt>
                <c:pt idx="2">
                  <c:v>0</c:v>
                </c:pt>
                <c:pt idx="3">
                  <c:v>1.3410818059901655E-3</c:v>
                </c:pt>
                <c:pt idx="4">
                  <c:v>4.3177892918825559E-4</c:v>
                </c:pt>
                <c:pt idx="5">
                  <c:v>7.6277650648360034E-4</c:v>
                </c:pt>
                <c:pt idx="6">
                  <c:v>1.9102196752626551E-3</c:v>
                </c:pt>
                <c:pt idx="7">
                  <c:v>3.7488284910965324E-3</c:v>
                </c:pt>
                <c:pt idx="8">
                  <c:v>1.1135857461024498E-3</c:v>
                </c:pt>
                <c:pt idx="9">
                  <c:v>5.2301255230125519E-4</c:v>
                </c:pt>
                <c:pt idx="10">
                  <c:v>6.2206248272048657E-4</c:v>
                </c:pt>
                <c:pt idx="11">
                  <c:v>1.5961691939345569E-4</c:v>
                </c:pt>
                <c:pt idx="12">
                  <c:v>0</c:v>
                </c:pt>
                <c:pt idx="13">
                  <c:v>6.7511972826430938E-4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929A-41C6-977F-BFB511DFD1A1}"/>
            </c:ext>
          </c:extLst>
        </c:ser>
        <c:ser>
          <c:idx val="70"/>
          <c:order val="70"/>
          <c:tx>
            <c:strRef>
              <c:f>'Category dominance by state'!$BT$3:$BT$4</c:f>
              <c:strCache>
                <c:ptCount val="1"/>
                <c:pt idx="0">
                  <c:v>telefonia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state'!$BT$5:$BT$19</c:f>
              <c:numCache>
                <c:formatCode>0.00%</c:formatCode>
                <c:ptCount val="14"/>
                <c:pt idx="0">
                  <c:v>6.5852363250132773E-2</c:v>
                </c:pt>
                <c:pt idx="1">
                  <c:v>6.7255434782608689E-2</c:v>
                </c:pt>
                <c:pt idx="2">
                  <c:v>3.8907284768211918E-2</c:v>
                </c:pt>
                <c:pt idx="3">
                  <c:v>4.9620026821636118E-2</c:v>
                </c:pt>
                <c:pt idx="4">
                  <c:v>5.3540587219343697E-2</c:v>
                </c:pt>
                <c:pt idx="5">
                  <c:v>3.6613272311212815E-2</c:v>
                </c:pt>
                <c:pt idx="6">
                  <c:v>6.3037249283667621E-2</c:v>
                </c:pt>
                <c:pt idx="7">
                  <c:v>7.1227741330834121E-2</c:v>
                </c:pt>
                <c:pt idx="8">
                  <c:v>7.1826280623608019E-2</c:v>
                </c:pt>
                <c:pt idx="9">
                  <c:v>4.3410041841004186E-2</c:v>
                </c:pt>
                <c:pt idx="10">
                  <c:v>2.9789881116947747E-2</c:v>
                </c:pt>
                <c:pt idx="11">
                  <c:v>4.6448523543495608E-2</c:v>
                </c:pt>
                <c:pt idx="12">
                  <c:v>4.1626564003849856E-2</c:v>
                </c:pt>
                <c:pt idx="13">
                  <c:v>3.4578788582037598E-2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929A-41C6-977F-BFB511DFD1A1}"/>
            </c:ext>
          </c:extLst>
        </c:ser>
        <c:ser>
          <c:idx val="71"/>
          <c:order val="71"/>
          <c:tx>
            <c:strRef>
              <c:f>'Category dominance by state'!$BU$3:$BU$4</c:f>
              <c:strCache>
                <c:ptCount val="1"/>
                <c:pt idx="0">
                  <c:v>telefonia_fixa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state'!$BU$5:$BU$19</c:f>
              <c:numCache>
                <c:formatCode>0.00%</c:formatCode>
                <c:ptCount val="14"/>
                <c:pt idx="0">
                  <c:v>3.186404673393521E-3</c:v>
                </c:pt>
                <c:pt idx="1">
                  <c:v>2.717391304347826E-3</c:v>
                </c:pt>
                <c:pt idx="2">
                  <c:v>1.2417218543046358E-3</c:v>
                </c:pt>
                <c:pt idx="3">
                  <c:v>4.0232454179704958E-3</c:v>
                </c:pt>
                <c:pt idx="4">
                  <c:v>2.5906735751295338E-3</c:v>
                </c:pt>
                <c:pt idx="5">
                  <c:v>1.2204424103737605E-3</c:v>
                </c:pt>
                <c:pt idx="6">
                  <c:v>0</c:v>
                </c:pt>
                <c:pt idx="7">
                  <c:v>0</c:v>
                </c:pt>
                <c:pt idx="8">
                  <c:v>1.6703786191536749E-3</c:v>
                </c:pt>
                <c:pt idx="9">
                  <c:v>1.0460251046025104E-3</c:v>
                </c:pt>
                <c:pt idx="10">
                  <c:v>2.4882499308819463E-3</c:v>
                </c:pt>
                <c:pt idx="11">
                  <c:v>2.8731045490822029E-3</c:v>
                </c:pt>
                <c:pt idx="12">
                  <c:v>1.6843118383060634E-3</c:v>
                </c:pt>
                <c:pt idx="13">
                  <c:v>2.4684065064663812E-3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929A-41C6-977F-BFB511DFD1A1}"/>
            </c:ext>
          </c:extLst>
        </c:ser>
        <c:ser>
          <c:idx val="72"/>
          <c:order val="72"/>
          <c:tx>
            <c:strRef>
              <c:f>'Category dominance by state'!$BV$3:$BV$4</c:f>
              <c:strCache>
                <c:ptCount val="1"/>
                <c:pt idx="0">
                  <c:v>utilidades_domesticas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state'!$BV$5:$BV$19</c:f>
              <c:numCache>
                <c:formatCode>0.00%</c:formatCode>
                <c:ptCount val="14"/>
                <c:pt idx="0">
                  <c:v>4.1688794476898564E-2</c:v>
                </c:pt>
                <c:pt idx="1">
                  <c:v>4.0081521739130432E-2</c:v>
                </c:pt>
                <c:pt idx="2">
                  <c:v>6.4569536423841056E-2</c:v>
                </c:pt>
                <c:pt idx="3">
                  <c:v>5.0067054090299511E-2</c:v>
                </c:pt>
                <c:pt idx="4">
                  <c:v>5.6994818652849742E-2</c:v>
                </c:pt>
                <c:pt idx="5">
                  <c:v>6.3539282990083906E-2</c:v>
                </c:pt>
                <c:pt idx="6">
                  <c:v>5.0620821394460364E-2</c:v>
                </c:pt>
                <c:pt idx="7">
                  <c:v>3.5613870665417061E-2</c:v>
                </c:pt>
                <c:pt idx="8">
                  <c:v>3.4521158129175944E-2</c:v>
                </c:pt>
                <c:pt idx="9">
                  <c:v>5.8751743375174338E-2</c:v>
                </c:pt>
                <c:pt idx="10">
                  <c:v>6.0409178877522812E-2</c:v>
                </c:pt>
                <c:pt idx="11">
                  <c:v>6.9114126097366321E-2</c:v>
                </c:pt>
                <c:pt idx="12">
                  <c:v>6.3522617901828685E-2</c:v>
                </c:pt>
                <c:pt idx="13">
                  <c:v>6.8609042384860444E-2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929A-41C6-977F-BFB511DFD1A1}"/>
            </c:ext>
          </c:extLst>
        </c:ser>
        <c:ser>
          <c:idx val="73"/>
          <c:order val="73"/>
          <c:tx>
            <c:strRef>
              <c:f>'Category dominance by state'!$BW$3:$BW$4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dominance by state'!$A$5:$A$19</c:f>
              <c:strCache>
                <c:ptCount val="14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ES</c:v>
                </c:pt>
                <c:pt idx="4">
                  <c:v>GO</c:v>
                </c:pt>
                <c:pt idx="5">
                  <c:v>MG</c:v>
                </c:pt>
                <c:pt idx="6">
                  <c:v>MT</c:v>
                </c:pt>
                <c:pt idx="7">
                  <c:v>PA</c:v>
                </c:pt>
                <c:pt idx="8">
                  <c:v>PE</c:v>
                </c:pt>
                <c:pt idx="9">
                  <c:v>PR</c:v>
                </c:pt>
                <c:pt idx="10">
                  <c:v>RJ</c:v>
                </c:pt>
                <c:pt idx="11">
                  <c:v>RS</c:v>
                </c:pt>
                <c:pt idx="12">
                  <c:v>SC</c:v>
                </c:pt>
                <c:pt idx="13">
                  <c:v>SP</c:v>
                </c:pt>
              </c:strCache>
            </c:strRef>
          </c:cat>
          <c:val>
            <c:numRef>
              <c:f>'Category dominance by state'!$BW$5:$BW$19</c:f>
              <c:numCache>
                <c:formatCode>0.00%</c:formatCode>
                <c:ptCount val="14"/>
                <c:pt idx="0">
                  <c:v>1.5400955921402018E-2</c:v>
                </c:pt>
                <c:pt idx="1">
                  <c:v>1.2228260869565218E-2</c:v>
                </c:pt>
                <c:pt idx="2">
                  <c:v>1.3658940397350994E-2</c:v>
                </c:pt>
                <c:pt idx="3">
                  <c:v>8.0464908359409917E-3</c:v>
                </c:pt>
                <c:pt idx="4">
                  <c:v>2.3316062176165803E-2</c:v>
                </c:pt>
                <c:pt idx="5">
                  <c:v>1.3806254767353166E-2</c:v>
                </c:pt>
                <c:pt idx="6">
                  <c:v>1.0506208213944603E-2</c:v>
                </c:pt>
                <c:pt idx="7">
                  <c:v>1.780693533270853E-2</c:v>
                </c:pt>
                <c:pt idx="8">
                  <c:v>1.2806236080178173E-2</c:v>
                </c:pt>
                <c:pt idx="9">
                  <c:v>1.3772663877266387E-2</c:v>
                </c:pt>
                <c:pt idx="10">
                  <c:v>1.5067735692562898E-2</c:v>
                </c:pt>
                <c:pt idx="11">
                  <c:v>1.596169193934557E-2</c:v>
                </c:pt>
                <c:pt idx="12">
                  <c:v>1.5158806544754572E-2</c:v>
                </c:pt>
                <c:pt idx="13">
                  <c:v>1.3861051920926602E-2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929A-41C6-977F-BFB511DFD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9682432"/>
        <c:axId val="1539682912"/>
      </c:barChart>
      <c:catAx>
        <c:axId val="153968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682912"/>
        <c:crosses val="autoZero"/>
        <c:auto val="1"/>
        <c:lblAlgn val="ctr"/>
        <c:lblOffset val="100"/>
        <c:noMultiLvlLbl val="0"/>
      </c:catAx>
      <c:valAx>
        <c:axId val="153968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68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'Orders over time'!$B$1</c:f>
              <c:strCache>
                <c:ptCount val="1"/>
                <c:pt idx="0">
                  <c:v>num_orders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'Orders over time'!$A$2:$A$26</c:f>
              <c:strCache>
                <c:ptCount val="25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  <c:pt idx="23">
                  <c:v>2018-09</c:v>
                </c:pt>
                <c:pt idx="24">
                  <c:v>2018-10</c:v>
                </c:pt>
              </c:strCache>
            </c:strRef>
          </c:cat>
          <c:val>
            <c:numRef>
              <c:f>'Orders over time'!$B$2:$B$26</c:f>
              <c:numCache>
                <c:formatCode>General</c:formatCode>
                <c:ptCount val="25"/>
                <c:pt idx="0">
                  <c:v>4</c:v>
                </c:pt>
                <c:pt idx="1">
                  <c:v>324</c:v>
                </c:pt>
                <c:pt idx="2" formatCode="0.00E+00">
                  <c:v>1</c:v>
                </c:pt>
                <c:pt idx="3">
                  <c:v>800</c:v>
                </c:pt>
                <c:pt idx="4">
                  <c:v>1780</c:v>
                </c:pt>
                <c:pt idx="5">
                  <c:v>2682</c:v>
                </c:pt>
                <c:pt idx="6">
                  <c:v>2404</c:v>
                </c:pt>
                <c:pt idx="7">
                  <c:v>3700</c:v>
                </c:pt>
                <c:pt idx="8">
                  <c:v>3245</c:v>
                </c:pt>
                <c:pt idx="9">
                  <c:v>4026</c:v>
                </c:pt>
                <c:pt idx="10">
                  <c:v>4331</c:v>
                </c:pt>
                <c:pt idx="11">
                  <c:v>4285</c:v>
                </c:pt>
                <c:pt idx="12">
                  <c:v>4631</c:v>
                </c:pt>
                <c:pt idx="13">
                  <c:v>7544</c:v>
                </c:pt>
                <c:pt idx="14">
                  <c:v>5673</c:v>
                </c:pt>
                <c:pt idx="15">
                  <c:v>7269</c:v>
                </c:pt>
                <c:pt idx="16">
                  <c:v>6728</c:v>
                </c:pt>
                <c:pt idx="17">
                  <c:v>7211</c:v>
                </c:pt>
                <c:pt idx="18">
                  <c:v>6939</c:v>
                </c:pt>
                <c:pt idx="19">
                  <c:v>6873</c:v>
                </c:pt>
                <c:pt idx="20">
                  <c:v>6167</c:v>
                </c:pt>
                <c:pt idx="21">
                  <c:v>6292</c:v>
                </c:pt>
                <c:pt idx="22">
                  <c:v>6512</c:v>
                </c:pt>
                <c:pt idx="23">
                  <c:v>16</c:v>
                </c:pt>
                <c:pt idx="2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0-4BA8-82D2-154AC05C6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5493855"/>
        <c:axId val="645495295"/>
      </c:lineChart>
      <c:catAx>
        <c:axId val="64549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495295"/>
        <c:crosses val="autoZero"/>
        <c:auto val="1"/>
        <c:lblAlgn val="ctr"/>
        <c:lblOffset val="100"/>
        <c:noMultiLvlLbl val="0"/>
      </c:catAx>
      <c:valAx>
        <c:axId val="64549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493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VS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'Category sale vs revenue'!$I$3</c:f>
              <c:strCache>
                <c:ptCount val="1"/>
                <c:pt idx="0">
                  <c:v>revenue %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'Category sale vs revenue'!$H$4:$H$77</c:f>
              <c:numCache>
                <c:formatCode>0.00%</c:formatCode>
                <c:ptCount val="74"/>
                <c:pt idx="0">
                  <c:v>1.836812710370999E-3</c:v>
                </c:pt>
                <c:pt idx="1">
                  <c:v>4.4848066684692912E-3</c:v>
                </c:pt>
                <c:pt idx="2">
                  <c:v>2.498811199895572E-3</c:v>
                </c:pt>
                <c:pt idx="3">
                  <c:v>1.846136632758669E-3</c:v>
                </c:pt>
                <c:pt idx="4">
                  <c:v>2.2377413730408107E-4</c:v>
                </c:pt>
                <c:pt idx="5">
                  <c:v>3.9160474028214189E-4</c:v>
                </c:pt>
                <c:pt idx="6">
                  <c:v>1.2960252118861362E-3</c:v>
                </c:pt>
                <c:pt idx="7">
                  <c:v>3.2167532237461654E-3</c:v>
                </c:pt>
                <c:pt idx="8">
                  <c:v>3.721177424919115E-2</c:v>
                </c:pt>
                <c:pt idx="9">
                  <c:v>2.7095318458569152E-2</c:v>
                </c:pt>
                <c:pt idx="10">
                  <c:v>3.4498512834379167E-3</c:v>
                </c:pt>
                <c:pt idx="11">
                  <c:v>8.4763778426308375E-2</c:v>
                </c:pt>
                <c:pt idx="12">
                  <c:v>3.6363297311913179E-2</c:v>
                </c:pt>
                <c:pt idx="13">
                  <c:v>0.10122982536293368</c:v>
                </c:pt>
                <c:pt idx="14">
                  <c:v>3.9440191699844293E-3</c:v>
                </c:pt>
                <c:pt idx="15">
                  <c:v>2.5174590446709123E-4</c:v>
                </c:pt>
                <c:pt idx="16">
                  <c:v>5.2773400714212458E-3</c:v>
                </c:pt>
                <c:pt idx="17">
                  <c:v>1.2121099103971058E-4</c:v>
                </c:pt>
                <c:pt idx="18">
                  <c:v>6.7132241191224327E-4</c:v>
                </c:pt>
                <c:pt idx="19">
                  <c:v>2.657317880485963E-3</c:v>
                </c:pt>
                <c:pt idx="20">
                  <c:v>9.9859208771946179E-3</c:v>
                </c:pt>
                <c:pt idx="21">
                  <c:v>8.3355866145770202E-3</c:v>
                </c:pt>
                <c:pt idx="22">
                  <c:v>9.0442047160399432E-4</c:v>
                </c:pt>
                <c:pt idx="23">
                  <c:v>2.6293461133229529E-3</c:v>
                </c:pt>
                <c:pt idx="24">
                  <c:v>2.1072064596134301E-3</c:v>
                </c:pt>
                <c:pt idx="25">
                  <c:v>1.6783060297806082E-3</c:v>
                </c:pt>
                <c:pt idx="26">
                  <c:v>3.3342346458308081E-2</c:v>
                </c:pt>
                <c:pt idx="27">
                  <c:v>5.2213965370952252E-4</c:v>
                </c:pt>
                <c:pt idx="28">
                  <c:v>7.2260398504442845E-3</c:v>
                </c:pt>
                <c:pt idx="29">
                  <c:v>2.0885586148380901E-3</c:v>
                </c:pt>
                <c:pt idx="30">
                  <c:v>2.4279493897492798E-2</c:v>
                </c:pt>
                <c:pt idx="31">
                  <c:v>6.1164930863115497E-3</c:v>
                </c:pt>
                <c:pt idx="32">
                  <c:v>7.6996951077379236E-2</c:v>
                </c:pt>
                <c:pt idx="33">
                  <c:v>1.8088409432079889E-2</c:v>
                </c:pt>
                <c:pt idx="34">
                  <c:v>2.2750370625914912E-3</c:v>
                </c:pt>
                <c:pt idx="35">
                  <c:v>2.7971767163010133E-4</c:v>
                </c:pt>
                <c:pt idx="36">
                  <c:v>4.4754827460816214E-4</c:v>
                </c:pt>
                <c:pt idx="37">
                  <c:v>7.4591379101360362E-5</c:v>
                </c:pt>
                <c:pt idx="38">
                  <c:v>1.2121099103971059E-3</c:v>
                </c:pt>
                <c:pt idx="39">
                  <c:v>1.1748142208464257E-3</c:v>
                </c:pt>
                <c:pt idx="40">
                  <c:v>3.8778193210319716E-2</c:v>
                </c:pt>
                <c:pt idx="41">
                  <c:v>2.7971767163010133E-4</c:v>
                </c:pt>
                <c:pt idx="42">
                  <c:v>3.543090507314617E-4</c:v>
                </c:pt>
                <c:pt idx="43">
                  <c:v>2.3403045193051814E-3</c:v>
                </c:pt>
                <c:pt idx="44">
                  <c:v>6.9295391185163771E-2</c:v>
                </c:pt>
                <c:pt idx="45">
                  <c:v>5.930014638558149E-3</c:v>
                </c:pt>
                <c:pt idx="46">
                  <c:v>1.2121099103971058E-4</c:v>
                </c:pt>
                <c:pt idx="47">
                  <c:v>5.4078749848486258E-4</c:v>
                </c:pt>
                <c:pt idx="48">
                  <c:v>4.6899329609980328E-3</c:v>
                </c:pt>
                <c:pt idx="49">
                  <c:v>2.3682762864681915E-3</c:v>
                </c:pt>
                <c:pt idx="50">
                  <c:v>9.6502596712384967E-3</c:v>
                </c:pt>
                <c:pt idx="51">
                  <c:v>2.6106982685476128E-3</c:v>
                </c:pt>
                <c:pt idx="52">
                  <c:v>3.4498512834379167E-4</c:v>
                </c:pt>
                <c:pt idx="53">
                  <c:v>2.5547547342215922E-3</c:v>
                </c:pt>
                <c:pt idx="54">
                  <c:v>7.4721914014787741E-2</c:v>
                </c:pt>
                <c:pt idx="55">
                  <c:v>1.5039486811311783E-2</c:v>
                </c:pt>
                <c:pt idx="56">
                  <c:v>9.6968792831768466E-4</c:v>
                </c:pt>
                <c:pt idx="57">
                  <c:v>4.4848066684692912E-3</c:v>
                </c:pt>
                <c:pt idx="58">
                  <c:v>3.4498512834379167E-4</c:v>
                </c:pt>
                <c:pt idx="59">
                  <c:v>2.2274850584143739E-2</c:v>
                </c:pt>
                <c:pt idx="60">
                  <c:v>8.3915301489030408E-5</c:v>
                </c:pt>
                <c:pt idx="61">
                  <c:v>1.6503342626175981E-3</c:v>
                </c:pt>
                <c:pt idx="62">
                  <c:v>3.0461254440518039E-2</c:v>
                </c:pt>
                <c:pt idx="63">
                  <c:v>1.7267904261964923E-2</c:v>
                </c:pt>
                <c:pt idx="64">
                  <c:v>6.806463342999133E-4</c:v>
                </c:pt>
                <c:pt idx="65">
                  <c:v>1.3985883581505066E-4</c:v>
                </c:pt>
                <c:pt idx="66">
                  <c:v>5.2185993603789241E-2</c:v>
                </c:pt>
                <c:pt idx="67">
                  <c:v>9.3239223876700452E-6</c:v>
                </c:pt>
                <c:pt idx="68">
                  <c:v>1.7435734864942984E-3</c:v>
                </c:pt>
                <c:pt idx="69">
                  <c:v>6.8997025668758333E-4</c:v>
                </c:pt>
                <c:pt idx="70">
                  <c:v>3.9253713252090892E-2</c:v>
                </c:pt>
                <c:pt idx="71">
                  <c:v>2.2097696058778005E-3</c:v>
                </c:pt>
                <c:pt idx="72">
                  <c:v>6.3048363185424838E-2</c:v>
                </c:pt>
                <c:pt idx="73">
                  <c:v>1.4284249097910508E-2</c:v>
                </c:pt>
              </c:numCache>
            </c:numRef>
          </c:xVal>
          <c:yVal>
            <c:numRef>
              <c:f>'Category sale vs revenue'!$I$4:$I$77</c:f>
              <c:numCache>
                <c:formatCode>0.00%</c:formatCode>
                <c:ptCount val="74"/>
                <c:pt idx="0">
                  <c:v>5.3824830427396395E-3</c:v>
                </c:pt>
                <c:pt idx="1">
                  <c:v>2.1756959383873848E-3</c:v>
                </c:pt>
                <c:pt idx="2">
                  <c:v>1.1284057322059953E-3</c:v>
                </c:pt>
                <c:pt idx="3">
                  <c:v>1.8235763992790368E-3</c:v>
                </c:pt>
                <c:pt idx="4">
                  <c:v>1.4266055414703584E-4</c:v>
                </c:pt>
                <c:pt idx="5">
                  <c:v>3.3454895184172425E-4</c:v>
                </c:pt>
                <c:pt idx="6">
                  <c:v>6.0626233157638233E-4</c:v>
                </c:pt>
                <c:pt idx="7">
                  <c:v>3.809600120927667E-3</c:v>
                </c:pt>
                <c:pt idx="8">
                  <c:v>4.2740979652772432E-2</c:v>
                </c:pt>
                <c:pt idx="9">
                  <c:v>2.9982657888564253E-2</c:v>
                </c:pt>
                <c:pt idx="10">
                  <c:v>1.7351186924863321E-3</c:v>
                </c:pt>
                <c:pt idx="11">
                  <c:v>9.0257313362551231E-2</c:v>
                </c:pt>
                <c:pt idx="12">
                  <c:v>3.5780254116462601E-2</c:v>
                </c:pt>
                <c:pt idx="13">
                  <c:v>7.949392251144162E-2</c:v>
                </c:pt>
                <c:pt idx="14">
                  <c:v>4.3620897864779353E-3</c:v>
                </c:pt>
                <c:pt idx="15">
                  <c:v>5.6746972759729357E-5</c:v>
                </c:pt>
                <c:pt idx="16">
                  <c:v>5.9906296786348314E-3</c:v>
                </c:pt>
                <c:pt idx="17">
                  <c:v>5.2298095659769703E-5</c:v>
                </c:pt>
                <c:pt idx="18">
                  <c:v>5.4260729156439043E-4</c:v>
                </c:pt>
                <c:pt idx="19">
                  <c:v>4.1679034183243254E-3</c:v>
                </c:pt>
                <c:pt idx="20">
                  <c:v>1.1352916219199455E-2</c:v>
                </c:pt>
                <c:pt idx="21">
                  <c:v>1.0741960428451694E-2</c:v>
                </c:pt>
                <c:pt idx="22">
                  <c:v>1.2157105215816022E-3</c:v>
                </c:pt>
                <c:pt idx="23">
                  <c:v>3.0295343090670059E-3</c:v>
                </c:pt>
                <c:pt idx="24">
                  <c:v>1.9103888787616755E-3</c:v>
                </c:pt>
                <c:pt idx="25">
                  <c:v>2.924213022345985E-3</c:v>
                </c:pt>
                <c:pt idx="26">
                  <c:v>4.6250076488914035E-2</c:v>
                </c:pt>
                <c:pt idx="27">
                  <c:v>4.2797851669099254E-4</c:v>
                </c:pt>
                <c:pt idx="28">
                  <c:v>6.0134072687791007E-3</c:v>
                </c:pt>
                <c:pt idx="29">
                  <c:v>8.3665494660838009E-3</c:v>
                </c:pt>
                <c:pt idx="30">
                  <c:v>1.1556171784934224E-2</c:v>
                </c:pt>
                <c:pt idx="31">
                  <c:v>1.4553665842643736E-2</c:v>
                </c:pt>
                <c:pt idx="32">
                  <c:v>7.3432341225403777E-2</c:v>
                </c:pt>
                <c:pt idx="33">
                  <c:v>1.1361464008699088E-2</c:v>
                </c:pt>
                <c:pt idx="34">
                  <c:v>1.6546582689231603E-3</c:v>
                </c:pt>
                <c:pt idx="35">
                  <c:v>1.5245877931733761E-4</c:v>
                </c:pt>
                <c:pt idx="36">
                  <c:v>2.1860132123266497E-4</c:v>
                </c:pt>
                <c:pt idx="37">
                  <c:v>4.4815142574014684E-5</c:v>
                </c:pt>
                <c:pt idx="38">
                  <c:v>8.2913479502751694E-4</c:v>
                </c:pt>
                <c:pt idx="39">
                  <c:v>6.9975245211536142E-4</c:v>
                </c:pt>
                <c:pt idx="40">
                  <c:v>3.5665280095514104E-2</c:v>
                </c:pt>
                <c:pt idx="41">
                  <c:v>7.6208942282922086E-5</c:v>
                </c:pt>
                <c:pt idx="42">
                  <c:v>1.1958490417938228E-4</c:v>
                </c:pt>
                <c:pt idx="43">
                  <c:v>2.7052302789118935E-3</c:v>
                </c:pt>
                <c:pt idx="44">
                  <c:v>6.7110427883546472E-2</c:v>
                </c:pt>
                <c:pt idx="45">
                  <c:v>1.3848324179011785E-2</c:v>
                </c:pt>
                <c:pt idx="46">
                  <c:v>1.5083793157064917E-4</c:v>
                </c:pt>
                <c:pt idx="47">
                  <c:v>3.012810715018817E-4</c:v>
                </c:pt>
                <c:pt idx="48">
                  <c:v>3.4056087353001156E-3</c:v>
                </c:pt>
                <c:pt idx="49">
                  <c:v>1.4449885187041488E-3</c:v>
                </c:pt>
                <c:pt idx="50">
                  <c:v>1.0358955128277969E-2</c:v>
                </c:pt>
                <c:pt idx="51">
                  <c:v>2.0107029177373432E-3</c:v>
                </c:pt>
                <c:pt idx="52">
                  <c:v>3.2393990957931457E-4</c:v>
                </c:pt>
                <c:pt idx="53">
                  <c:v>3.5533268691943392E-3</c:v>
                </c:pt>
                <c:pt idx="54">
                  <c:v>5.4860704706410843E-2</c:v>
                </c:pt>
                <c:pt idx="55">
                  <c:v>2.0455778831671188E-2</c:v>
                </c:pt>
                <c:pt idx="56">
                  <c:v>1.5396716649741945E-3</c:v>
                </c:pt>
                <c:pt idx="57">
                  <c:v>5.0235537410701081E-3</c:v>
                </c:pt>
                <c:pt idx="58">
                  <c:v>4.7329776572091584E-4</c:v>
                </c:pt>
                <c:pt idx="59">
                  <c:v>1.7022685677617461E-2</c:v>
                </c:pt>
                <c:pt idx="60">
                  <c:v>1.2157930975221199E-4</c:v>
                </c:pt>
                <c:pt idx="61">
                  <c:v>1.455753039665986E-2</c:v>
                </c:pt>
                <c:pt idx="62">
                  <c:v>2.9789521414511487E-2</c:v>
                </c:pt>
                <c:pt idx="63">
                  <c:v>1.5847562410455481E-2</c:v>
                </c:pt>
                <c:pt idx="64">
                  <c:v>3.3579081534332411E-3</c:v>
                </c:pt>
                <c:pt idx="65">
                  <c:v>3.1210009258445995E-4</c:v>
                </c:pt>
                <c:pt idx="66">
                  <c:v>8.8152629587257114E-2</c:v>
                </c:pt>
                <c:pt idx="67">
                  <c:v>7.8643752871834143E-6</c:v>
                </c:pt>
                <c:pt idx="68">
                  <c:v>1.5481785597223393E-3</c:v>
                </c:pt>
                <c:pt idx="69">
                  <c:v>4.5695480743661906E-4</c:v>
                </c:pt>
                <c:pt idx="70">
                  <c:v>2.2898659056065338E-2</c:v>
                </c:pt>
                <c:pt idx="71">
                  <c:v>4.2670904923213463E-3</c:v>
                </c:pt>
                <c:pt idx="72">
                  <c:v>4.7549126581851474E-2</c:v>
                </c:pt>
                <c:pt idx="73">
                  <c:v>1.338135173033435E-2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79-420F-8C96-4D1F6E44A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604992"/>
        <c:axId val="1428605472"/>
      </c:scatterChart>
      <c:valAx>
        <c:axId val="142860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605472"/>
        <c:crosses val="autoZero"/>
        <c:crossBetween val="midCat"/>
      </c:valAx>
      <c:valAx>
        <c:axId val="142860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60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[Brazilian-E-Commerce-helper.xlsx]Sellers pivot!PivotTable10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'Sellers pivot'!$B$3</c:f>
              <c:strCache>
                <c:ptCount val="1"/>
                <c:pt idx="0">
                  <c:v>Sum of pct_positive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'Sellers pivot'!$A$4:$A$10</c:f>
              <c:strCache>
                <c:ptCount val="6"/>
                <c:pt idx="0">
                  <c:v>MG</c:v>
                </c:pt>
                <c:pt idx="1">
                  <c:v>PR</c:v>
                </c:pt>
                <c:pt idx="2">
                  <c:v>RJ</c:v>
                </c:pt>
                <c:pt idx="3">
                  <c:v>RS</c:v>
                </c:pt>
                <c:pt idx="4">
                  <c:v>SC</c:v>
                </c:pt>
                <c:pt idx="5">
                  <c:v>SP</c:v>
                </c:pt>
              </c:strCache>
            </c:strRef>
          </c:cat>
          <c:val>
            <c:numRef>
              <c:f>'Sellers pivot'!$B$4:$B$10</c:f>
              <c:numCache>
                <c:formatCode>0.00%</c:formatCode>
                <c:ptCount val="6"/>
                <c:pt idx="0">
                  <c:v>0.77522878275040741</c:v>
                </c:pt>
                <c:pt idx="1">
                  <c:v>0.77008618293021958</c:v>
                </c:pt>
                <c:pt idx="2">
                  <c:v>0.78605112931248444</c:v>
                </c:pt>
                <c:pt idx="3">
                  <c:v>0.82037037037037042</c:v>
                </c:pt>
                <c:pt idx="4">
                  <c:v>0.76586433260393871</c:v>
                </c:pt>
                <c:pt idx="5">
                  <c:v>0.74620780540035969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9-48C2-891C-F44C8551CA94}"/>
            </c:ext>
          </c:extLst>
        </c:ser>
        <c:ser>
          <c:idx val="1"/>
          <c:order val="1"/>
          <c:tx>
            <c:strRef>
              <c:f>'Sellers pivot'!$C$3</c:f>
              <c:strCache>
                <c:ptCount val="1"/>
                <c:pt idx="0">
                  <c:v>Sum of pct_neutral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'Sellers pivot'!$A$4:$A$10</c:f>
              <c:strCache>
                <c:ptCount val="6"/>
                <c:pt idx="0">
                  <c:v>MG</c:v>
                </c:pt>
                <c:pt idx="1">
                  <c:v>PR</c:v>
                </c:pt>
                <c:pt idx="2">
                  <c:v>RJ</c:v>
                </c:pt>
                <c:pt idx="3">
                  <c:v>RS</c:v>
                </c:pt>
                <c:pt idx="4">
                  <c:v>SC</c:v>
                </c:pt>
                <c:pt idx="5">
                  <c:v>SP</c:v>
                </c:pt>
              </c:strCache>
            </c:strRef>
          </c:cat>
          <c:val>
            <c:numRef>
              <c:f>'Sellers pivot'!$C$4:$C$10</c:f>
              <c:numCache>
                <c:formatCode>0.00%</c:formatCode>
                <c:ptCount val="6"/>
                <c:pt idx="0">
                  <c:v>8.5621160837407548E-2</c:v>
                </c:pt>
                <c:pt idx="1">
                  <c:v>7.7286627745343339E-2</c:v>
                </c:pt>
                <c:pt idx="2">
                  <c:v>7.0488955075701173E-2</c:v>
                </c:pt>
                <c:pt idx="3">
                  <c:v>7.9012345679012344E-2</c:v>
                </c:pt>
                <c:pt idx="4">
                  <c:v>8.3150984682713341E-2</c:v>
                </c:pt>
                <c:pt idx="5">
                  <c:v>8.8033824316718606E-2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B9-48C2-891C-F44C8551CA94}"/>
            </c:ext>
          </c:extLst>
        </c:ser>
        <c:ser>
          <c:idx val="2"/>
          <c:order val="2"/>
          <c:tx>
            <c:strRef>
              <c:f>'Sellers pivot'!$D$3</c:f>
              <c:strCache>
                <c:ptCount val="1"/>
                <c:pt idx="0">
                  <c:v>Sum of pct_negative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'Sellers pivot'!$A$4:$A$10</c:f>
              <c:strCache>
                <c:ptCount val="6"/>
                <c:pt idx="0">
                  <c:v>MG</c:v>
                </c:pt>
                <c:pt idx="1">
                  <c:v>PR</c:v>
                </c:pt>
                <c:pt idx="2">
                  <c:v>RJ</c:v>
                </c:pt>
                <c:pt idx="3">
                  <c:v>RS</c:v>
                </c:pt>
                <c:pt idx="4">
                  <c:v>SC</c:v>
                </c:pt>
                <c:pt idx="5">
                  <c:v>SP</c:v>
                </c:pt>
              </c:strCache>
            </c:strRef>
          </c:cat>
          <c:val>
            <c:numRef>
              <c:f>'Sellers pivot'!$D$4:$D$10</c:f>
              <c:numCache>
                <c:formatCode>0.00%</c:formatCode>
                <c:ptCount val="6"/>
                <c:pt idx="0">
                  <c:v>0.13915005641218503</c:v>
                </c:pt>
                <c:pt idx="1">
                  <c:v>0.15262718932443703</c:v>
                </c:pt>
                <c:pt idx="2">
                  <c:v>0.14345991561181434</c:v>
                </c:pt>
                <c:pt idx="3">
                  <c:v>0.10061728395061728</c:v>
                </c:pt>
                <c:pt idx="4">
                  <c:v>0.15098468271334792</c:v>
                </c:pt>
                <c:pt idx="5">
                  <c:v>0.16575837028292173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B9-48C2-891C-F44C8551C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8574272"/>
        <c:axId val="938575712"/>
      </c:barChart>
      <c:catAx>
        <c:axId val="93857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575712"/>
        <c:crosses val="autoZero"/>
        <c:auto val="1"/>
        <c:lblAlgn val="ctr"/>
        <c:lblOffset val="100"/>
        <c:noMultiLvlLbl val="0"/>
      </c:catAx>
      <c:valAx>
        <c:axId val="93857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57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[Brazilian-E-Commerce-helper.xlsx]Total reviews!PivotTable12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review count by seller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reviews'!$B$3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reviews'!$A$4:$A$10</c:f>
              <c:strCache>
                <c:ptCount val="6"/>
                <c:pt idx="0">
                  <c:v>MG</c:v>
                </c:pt>
                <c:pt idx="1">
                  <c:v>PR</c:v>
                </c:pt>
                <c:pt idx="2">
                  <c:v>RJ</c:v>
                </c:pt>
                <c:pt idx="3">
                  <c:v>RS</c:v>
                </c:pt>
                <c:pt idx="4">
                  <c:v>SC</c:v>
                </c:pt>
                <c:pt idx="5">
                  <c:v>SP</c:v>
                </c:pt>
              </c:strCache>
            </c:strRef>
          </c:cat>
          <c:val>
            <c:numRef>
              <c:f>'Total reviews'!$B$4:$B$10</c:f>
              <c:numCache>
                <c:formatCode>General</c:formatCode>
                <c:ptCount val="6"/>
                <c:pt idx="0">
                  <c:v>7977</c:v>
                </c:pt>
                <c:pt idx="1">
                  <c:v>7194</c:v>
                </c:pt>
                <c:pt idx="2">
                  <c:v>4029</c:v>
                </c:pt>
                <c:pt idx="3">
                  <c:v>1620</c:v>
                </c:pt>
                <c:pt idx="4">
                  <c:v>3199</c:v>
                </c:pt>
                <c:pt idx="5">
                  <c:v>72847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6-49A5-B6DC-DE7899762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732816"/>
        <c:axId val="1306733776"/>
      </c:barChart>
      <c:catAx>
        <c:axId val="130673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733776"/>
        <c:crosses val="autoZero"/>
        <c:auto val="1"/>
        <c:lblAlgn val="ctr"/>
        <c:lblOffset val="100"/>
        <c:noMultiLvlLbl val="0"/>
      </c:catAx>
      <c:valAx>
        <c:axId val="13067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73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seller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reviews'!$N$5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'Total reviews'!$M$6:$M$28</c15:sqref>
                  </c15:fullRef>
                </c:ext>
              </c:extLst>
              <c:f>('Total reviews'!$M$14,'Total reviews'!$M$21:$M$22,'Total reviews'!$M$25:$M$26,'Total reviews'!$M$28)</c:f>
              <c:strCache>
                <c:ptCount val="6"/>
                <c:pt idx="0">
                  <c:v>MG</c:v>
                </c:pt>
                <c:pt idx="1">
                  <c:v>PR</c:v>
                </c:pt>
                <c:pt idx="2">
                  <c:v>RJ</c:v>
                </c:pt>
                <c:pt idx="3">
                  <c:v>RS</c:v>
                </c:pt>
                <c:pt idx="4">
                  <c:v>SC</c:v>
                </c:pt>
                <c:pt idx="5">
                  <c:v>SP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'Total reviews'!$N$6:$N$28</c15:sqref>
                  </c15:fullRef>
                </c:ext>
              </c:extLst>
              <c:f>('Total reviews'!$N$14,'Total reviews'!$N$21:$N$22,'Total reviews'!$N$25:$N$26,'Total reviews'!$N$28)</c:f>
              <c:numCache>
                <c:formatCode>General</c:formatCode>
                <c:ptCount val="6"/>
                <c:pt idx="0">
                  <c:v>1011564.74000002</c:v>
                </c:pt>
                <c:pt idx="1">
                  <c:v>1261887.21000004</c:v>
                </c:pt>
                <c:pt idx="2">
                  <c:v>843984.22000000696</c:v>
                </c:pt>
                <c:pt idx="3">
                  <c:v>378559.53999999701</c:v>
                </c:pt>
                <c:pt idx="4">
                  <c:v>632426.06999999995</c:v>
                </c:pt>
                <c:pt idx="5">
                  <c:v>8753396.2100013793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A-4ED4-8E14-EDE2E66DA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1940736"/>
        <c:axId val="1611939776"/>
      </c:barChart>
      <c:catAx>
        <c:axId val="161194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39776"/>
        <c:crosses val="autoZero"/>
        <c:auto val="1"/>
        <c:lblAlgn val="ctr"/>
        <c:lblOffset val="100"/>
        <c:noMultiLvlLbl val="0"/>
      </c:catAx>
      <c:valAx>
        <c:axId val="161193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4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price per </a:t>
            </a:r>
            <a:r>
              <a:rPr lang="en-US"/>
              <a:t>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reviews'!$V$5</c:f>
              <c:strCache>
                <c:ptCount val="1"/>
                <c:pt idx="0">
                  <c:v>price_per_sale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'Total reviews'!$U$6:$U$28</c15:sqref>
                  </c15:fullRef>
                </c:ext>
              </c:extLst>
              <c:f>('Total reviews'!$U$14,'Total reviews'!$U$21:$U$22,'Total reviews'!$U$25:$U$26,'Total reviews'!$U$28)</c:f>
              <c:strCache>
                <c:ptCount val="6"/>
                <c:pt idx="0">
                  <c:v>MG</c:v>
                </c:pt>
                <c:pt idx="1">
                  <c:v>PR</c:v>
                </c:pt>
                <c:pt idx="2">
                  <c:v>RJ</c:v>
                </c:pt>
                <c:pt idx="3">
                  <c:v>RS</c:v>
                </c:pt>
                <c:pt idx="4">
                  <c:v>SC</c:v>
                </c:pt>
                <c:pt idx="5">
                  <c:v>SP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'Total reviews'!$V$6:$V$28</c15:sqref>
                  </c15:fullRef>
                </c:ext>
              </c:extLst>
              <c:f>('Total reviews'!$V$14,'Total reviews'!$V$21:$V$22,'Total reviews'!$V$25:$V$26,'Total reviews'!$V$28)</c:f>
              <c:numCache>
                <c:formatCode>General</c:formatCode>
                <c:ptCount val="6"/>
                <c:pt idx="0">
                  <c:v>114.598928288209</c:v>
                </c:pt>
                <c:pt idx="1">
                  <c:v>145.529605581829</c:v>
                </c:pt>
                <c:pt idx="2">
                  <c:v>175.17314653383301</c:v>
                </c:pt>
                <c:pt idx="3">
                  <c:v>172.150768531149</c:v>
                </c:pt>
                <c:pt idx="4">
                  <c:v>155.196581595092</c:v>
                </c:pt>
                <c:pt idx="5">
                  <c:v>108.951684175171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F-4B2A-9208-F9188E6FA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6600768"/>
        <c:axId val="1666598368"/>
      </c:barChart>
      <c:catAx>
        <c:axId val="166660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598368"/>
        <c:crosses val="autoZero"/>
        <c:auto val="1"/>
        <c:lblAlgn val="ctr"/>
        <c:lblOffset val="100"/>
        <c:noMultiLvlLbl val="0"/>
      </c:catAx>
      <c:valAx>
        <c:axId val="166659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60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review</a:t>
            </a:r>
            <a:r>
              <a:rPr lang="en-US" baseline="0"/>
              <a:t> </a:t>
            </a:r>
            <a:r>
              <a:rPr lang="en-US"/>
              <a:t>count by customer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reviews'!$F$29</c:f>
              <c:strCache>
                <c:ptCount val="1"/>
                <c:pt idx="0">
                  <c:v>review_count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'Total reviews'!$E$30:$E$48</c15:sqref>
                  </c15:fullRef>
                </c:ext>
              </c:extLst>
              <c:f>('Total reviews'!$E$36,'Total reviews'!$E$43:$E$44,'Total reviews'!$E$46:$E$48)</c:f>
              <c:strCache>
                <c:ptCount val="6"/>
                <c:pt idx="0">
                  <c:v>MG</c:v>
                </c:pt>
                <c:pt idx="1">
                  <c:v>PR</c:v>
                </c:pt>
                <c:pt idx="2">
                  <c:v>RJ</c:v>
                </c:pt>
                <c:pt idx="3">
                  <c:v>RS</c:v>
                </c:pt>
                <c:pt idx="4">
                  <c:v>SC</c:v>
                </c:pt>
                <c:pt idx="5">
                  <c:v>SP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'Total reviews'!$F$30:$F$48</c15:sqref>
                  </c15:fullRef>
                </c:ext>
              </c:extLst>
              <c:f>('Total reviews'!$F$36,'Total reviews'!$F$43:$F$44,'Total reviews'!$F$46:$F$48)</c:f>
              <c:numCache>
                <c:formatCode>General</c:formatCode>
                <c:ptCount val="6"/>
                <c:pt idx="0">
                  <c:v>13110</c:v>
                </c:pt>
                <c:pt idx="1">
                  <c:v>5736</c:v>
                </c:pt>
                <c:pt idx="2">
                  <c:v>14468</c:v>
                </c:pt>
                <c:pt idx="3">
                  <c:v>6265</c:v>
                </c:pt>
                <c:pt idx="4">
                  <c:v>4156</c:v>
                </c:pt>
                <c:pt idx="5">
                  <c:v>47399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5-42ED-B91C-77C6CEFC7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680032"/>
        <c:axId val="1533681952"/>
      </c:barChart>
      <c:catAx>
        <c:axId val="153368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681952"/>
        <c:crosses val="autoZero"/>
        <c:auto val="1"/>
        <c:lblAlgn val="ctr"/>
        <c:lblOffset val="100"/>
        <c:noMultiLvlLbl val="0"/>
      </c:catAx>
      <c:valAx>
        <c:axId val="15336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68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[Brazilian-E-Commerce-helper.xlsx]reviews by sellers state!PivotTable11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avg reviews by sellers state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'reviews by sellers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'reviews by sellers state'!$A$4:$A$10</c:f>
              <c:strCache>
                <c:ptCount val="6"/>
                <c:pt idx="0">
                  <c:v>MG</c:v>
                </c:pt>
                <c:pt idx="1">
                  <c:v>PR</c:v>
                </c:pt>
                <c:pt idx="2">
                  <c:v>RJ</c:v>
                </c:pt>
                <c:pt idx="3">
                  <c:v>RS</c:v>
                </c:pt>
                <c:pt idx="4">
                  <c:v>SC</c:v>
                </c:pt>
                <c:pt idx="5">
                  <c:v>SP</c:v>
                </c:pt>
              </c:strCache>
            </c:strRef>
          </c:cat>
          <c:val>
            <c:numRef>
              <c:f>'reviews by sellers state'!$B$4:$B$10</c:f>
              <c:numCache>
                <c:formatCode>General</c:formatCode>
                <c:ptCount val="6"/>
                <c:pt idx="0">
                  <c:v>4.0095695824350788</c:v>
                </c:pt>
                <c:pt idx="1">
                  <c:v>4.1477726193788946</c:v>
                </c:pt>
                <c:pt idx="2">
                  <c:v>4.1655204408963833</c:v>
                </c:pt>
                <c:pt idx="3">
                  <c:v>4.1736927521332206</c:v>
                </c:pt>
                <c:pt idx="4">
                  <c:v>4.0688609706204941</c:v>
                </c:pt>
                <c:pt idx="5">
                  <c:v>4.0395869802546498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6-4AC7-8EF9-9CDD933CE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3656560"/>
        <c:axId val="933655120"/>
      </c:barChart>
      <c:catAx>
        <c:axId val="93365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655120"/>
        <c:crosses val="autoZero"/>
        <c:auto val="1"/>
        <c:lblAlgn val="ctr"/>
        <c:lblOffset val="100"/>
        <c:noMultiLvlLbl val="0"/>
      </c:catAx>
      <c:valAx>
        <c:axId val="9336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65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avg_review against</a:t>
            </a:r>
            <a:r>
              <a:rPr lang="en-US" baseline="0"/>
              <a:t> avg delivery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'reviews by sellers state'!$AC$3</c:f>
              <c:strCache>
                <c:ptCount val="1"/>
                <c:pt idx="0">
                  <c:v>avg_review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'reviews by sellers state'!$AB$4:$AB$12</c:f>
              <c:numCache>
                <c:formatCode>General</c:formatCode>
                <c:ptCount val="9"/>
                <c:pt idx="0">
                  <c:v>12.827320670202599</c:v>
                </c:pt>
                <c:pt idx="1">
                  <c:v>13.775602037333799</c:v>
                </c:pt>
                <c:pt idx="2">
                  <c:v>12.532031276185601</c:v>
                </c:pt>
                <c:pt idx="3">
                  <c:v>11.5374576653714</c:v>
                </c:pt>
                <c:pt idx="4">
                  <c:v>13.5460221956378</c:v>
                </c:pt>
                <c:pt idx="5">
                  <c:v>11.9698288495578</c:v>
                </c:pt>
                <c:pt idx="6">
                  <c:v>13.365511940244</c:v>
                </c:pt>
                <c:pt idx="7">
                  <c:v>12.6966391870089</c:v>
                </c:pt>
                <c:pt idx="8">
                  <c:v>12.2442902615541</c:v>
                </c:pt>
              </c:numCache>
            </c:numRef>
          </c:xVal>
          <c:yVal>
            <c:numRef>
              <c:f>'reviews by sellers state'!$AC$4:$AC$12</c:f>
              <c:numCache>
                <c:formatCode>General</c:formatCode>
                <c:ptCount val="9"/>
                <c:pt idx="0">
                  <c:v>4.31102362204724</c:v>
                </c:pt>
                <c:pt idx="1">
                  <c:v>4.1586538461538396</c:v>
                </c:pt>
                <c:pt idx="2">
                  <c:v>4.0678733031674197</c:v>
                </c:pt>
                <c:pt idx="3">
                  <c:v>4.2524316813339498</c:v>
                </c:pt>
                <c:pt idx="4">
                  <c:v>4.13014042126379</c:v>
                </c:pt>
                <c:pt idx="5">
                  <c:v>4.1648092584654899</c:v>
                </c:pt>
                <c:pt idx="6">
                  <c:v>4.1250440709836598</c:v>
                </c:pt>
                <c:pt idx="7">
                  <c:v>4.1631701631701601</c:v>
                </c:pt>
                <c:pt idx="8">
                  <c:v>4.0525899968142696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17-40E1-8DD0-A9E0B9F2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683872"/>
        <c:axId val="1533691552"/>
      </c:scatterChart>
      <c:valAx>
        <c:axId val="153368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</a:t>
                </a:r>
                <a:r>
                  <a:rPr lang="en-US" baseline="0"/>
                  <a:t> delivery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691552"/>
        <c:crosses val="autoZero"/>
        <c:crossBetween val="midCat"/>
      </c:valAx>
      <c:valAx>
        <c:axId val="153369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</a:t>
                </a:r>
                <a:r>
                  <a:rPr lang="en-US" baseline="0"/>
                  <a:t> review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68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</a:t>
            </a:r>
            <a:r>
              <a:rPr lang="en-US"/>
              <a:t>delivery</a:t>
            </a:r>
            <a:r>
              <a:rPr lang="en-US" baseline="0"/>
              <a:t> time by sellers state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'reviews by sellers state'!$AB$3</c:f>
              <c:strCache>
                <c:ptCount val="1"/>
                <c:pt idx="0">
                  <c:v>avg_delivery_days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'reviews by sellers state'!$Z$4:$Z$12</c:f>
              <c:strCache>
                <c:ptCount val="9"/>
                <c:pt idx="0">
                  <c:v>GO</c:v>
                </c:pt>
                <c:pt idx="1">
                  <c:v>BA</c:v>
                </c:pt>
                <c:pt idx="2">
                  <c:v>DF</c:v>
                </c:pt>
                <c:pt idx="3">
                  <c:v>RS</c:v>
                </c:pt>
                <c:pt idx="4">
                  <c:v>SC</c:v>
                </c:pt>
                <c:pt idx="5">
                  <c:v>RJ</c:v>
                </c:pt>
                <c:pt idx="6">
                  <c:v>PR</c:v>
                </c:pt>
                <c:pt idx="7">
                  <c:v>MG</c:v>
                </c:pt>
                <c:pt idx="8">
                  <c:v>SP</c:v>
                </c:pt>
              </c:strCache>
            </c:strRef>
          </c:cat>
          <c:val>
            <c:numRef>
              <c:f>'reviews by sellers state'!$AB$4:$AB$12</c:f>
              <c:numCache>
                <c:formatCode>General</c:formatCode>
                <c:ptCount val="9"/>
                <c:pt idx="0">
                  <c:v>12.827320670202599</c:v>
                </c:pt>
                <c:pt idx="1">
                  <c:v>13.775602037333799</c:v>
                </c:pt>
                <c:pt idx="2">
                  <c:v>12.532031276185601</c:v>
                </c:pt>
                <c:pt idx="3">
                  <c:v>11.5374576653714</c:v>
                </c:pt>
                <c:pt idx="4">
                  <c:v>13.5460221956378</c:v>
                </c:pt>
                <c:pt idx="5">
                  <c:v>11.9698288495578</c:v>
                </c:pt>
                <c:pt idx="6">
                  <c:v>13.365511940244</c:v>
                </c:pt>
                <c:pt idx="7">
                  <c:v>12.6966391870089</c:v>
                </c:pt>
                <c:pt idx="8">
                  <c:v>12.2442902615541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3-487F-A463-A42808150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659872"/>
        <c:axId val="1533666592"/>
      </c:barChart>
      <c:catAx>
        <c:axId val="153365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666592"/>
        <c:crosses val="autoZero"/>
        <c:auto val="1"/>
        <c:lblAlgn val="ctr"/>
        <c:lblOffset val="100"/>
        <c:noMultiLvlLbl val="0"/>
      </c:catAx>
      <c:valAx>
        <c:axId val="153366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65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[Brazilian-E-Commerce-helper.xlsx]exceptional sellers pivot!PivotTable7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'exceptional sellers pivot'!$B$3:$B$4</c:f>
              <c:strCache>
                <c:ptCount val="1"/>
                <c:pt idx="0">
                  <c:v>bad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'exceptional sellers pivot'!$A$5:$A$12</c:f>
              <c:strCache>
                <c:ptCount val="7"/>
                <c:pt idx="0">
                  <c:v>MG</c:v>
                </c:pt>
                <c:pt idx="1">
                  <c:v>MS</c:v>
                </c:pt>
                <c:pt idx="2">
                  <c:v>PR</c:v>
                </c:pt>
                <c:pt idx="3">
                  <c:v>RN</c:v>
                </c:pt>
                <c:pt idx="4">
                  <c:v>RS</c:v>
                </c:pt>
                <c:pt idx="5">
                  <c:v>SC</c:v>
                </c:pt>
                <c:pt idx="6">
                  <c:v>SP</c:v>
                </c:pt>
              </c:strCache>
            </c:strRef>
          </c:cat>
          <c:val>
            <c:numRef>
              <c:f>'exceptional sellers pivot'!$B$5:$B$12</c:f>
              <c:numCache>
                <c:formatCode>General</c:formatCode>
                <c:ptCount val="7"/>
                <c:pt idx="0">
                  <c:v>7</c:v>
                </c:pt>
                <c:pt idx="2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7-4614-B2EB-081CD478354C}"/>
            </c:ext>
          </c:extLst>
        </c:ser>
        <c:ser>
          <c:idx val="1"/>
          <c:order val="1"/>
          <c:tx>
            <c:strRef>
              <c:f>'exceptional sellers pivot'!$C$3:$C$4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'exceptional sellers pivot'!$A$5:$A$12</c:f>
              <c:strCache>
                <c:ptCount val="7"/>
                <c:pt idx="0">
                  <c:v>MG</c:v>
                </c:pt>
                <c:pt idx="1">
                  <c:v>MS</c:v>
                </c:pt>
                <c:pt idx="2">
                  <c:v>PR</c:v>
                </c:pt>
                <c:pt idx="3">
                  <c:v>RN</c:v>
                </c:pt>
                <c:pt idx="4">
                  <c:v>RS</c:v>
                </c:pt>
                <c:pt idx="5">
                  <c:v>SC</c:v>
                </c:pt>
                <c:pt idx="6">
                  <c:v>SP</c:v>
                </c:pt>
              </c:strCache>
            </c:strRef>
          </c:cat>
          <c:val>
            <c:numRef>
              <c:f>'exceptional sellers pivot'!$C$5:$C$12</c:f>
              <c:numCache>
                <c:formatCode>General</c:formatCode>
                <c:ptCount val="7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E7-4614-B2EB-081CD4783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3073216"/>
        <c:axId val="943076096"/>
      </c:barChart>
      <c:catAx>
        <c:axId val="94307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076096"/>
        <c:crosses val="autoZero"/>
        <c:auto val="1"/>
        <c:lblAlgn val="ctr"/>
        <c:lblOffset val="100"/>
        <c:noMultiLvlLbl val="0"/>
      </c:catAx>
      <c:valAx>
        <c:axId val="94307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07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0</xdr:rowOff>
    </xdr:from>
    <xdr:to>
      <xdr:col>18</xdr:col>
      <xdr:colOff>220980</xdr:colOff>
      <xdr:row>2</xdr:row>
      <xdr:rowOff>144780</xdr:rowOff>
    </xdr:to>
    <xdr:sp macro="" textlink="">
      <xdr:nvSpPr>
        <xdr:cNvPr id="14337" name="AutoShape 1">
          <a:extLst>
            <a:ext uri="{FF2B5EF4-FFF2-40B4-BE49-F238E27FC236}">
              <a16:creationId xmlns:a16="http://schemas.microsoft.com/office/drawing/2014/main" id="{68EBC1F3-EFDE-7487-5E54-4B14316D1194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9296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213360</xdr:colOff>
      <xdr:row>10</xdr:row>
      <xdr:rowOff>144780</xdr:rowOff>
    </xdr:to>
    <xdr:sp macro="" textlink="">
      <xdr:nvSpPr>
        <xdr:cNvPr id="14338" name="AutoShape 2">
          <a:extLst>
            <a:ext uri="{FF2B5EF4-FFF2-40B4-BE49-F238E27FC236}">
              <a16:creationId xmlns:a16="http://schemas.microsoft.com/office/drawing/2014/main" id="{9906E6BA-7A24-5BF7-A556-0326EC528F89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116586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220980</xdr:colOff>
      <xdr:row>3</xdr:row>
      <xdr:rowOff>144780</xdr:rowOff>
    </xdr:to>
    <xdr:sp macro="" textlink="">
      <xdr:nvSpPr>
        <xdr:cNvPr id="14339" name="AutoShape 3">
          <a:extLst>
            <a:ext uri="{FF2B5EF4-FFF2-40B4-BE49-F238E27FC236}">
              <a16:creationId xmlns:a16="http://schemas.microsoft.com/office/drawing/2014/main" id="{E7CE5FBD-110E-9096-070B-8842B1B9C630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140208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213360</xdr:colOff>
      <xdr:row>4</xdr:row>
      <xdr:rowOff>144780</xdr:rowOff>
    </xdr:to>
    <xdr:sp macro="" textlink="">
      <xdr:nvSpPr>
        <xdr:cNvPr id="14340" name="AutoShape 4">
          <a:extLst>
            <a:ext uri="{FF2B5EF4-FFF2-40B4-BE49-F238E27FC236}">
              <a16:creationId xmlns:a16="http://schemas.microsoft.com/office/drawing/2014/main" id="{C49B7D3B-6E70-D93C-4CA7-E6ECB1DEB19B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163830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213360</xdr:colOff>
      <xdr:row>5</xdr:row>
      <xdr:rowOff>144780</xdr:rowOff>
    </xdr:to>
    <xdr:sp macro="" textlink="">
      <xdr:nvSpPr>
        <xdr:cNvPr id="14341" name="AutoShape 5">
          <a:extLst>
            <a:ext uri="{FF2B5EF4-FFF2-40B4-BE49-F238E27FC236}">
              <a16:creationId xmlns:a16="http://schemas.microsoft.com/office/drawing/2014/main" id="{C05F1189-4150-6B5C-31BA-47FA89400DDE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187452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213360</xdr:colOff>
      <xdr:row>6</xdr:row>
      <xdr:rowOff>144780</xdr:rowOff>
    </xdr:to>
    <xdr:sp macro="" textlink="">
      <xdr:nvSpPr>
        <xdr:cNvPr id="14342" name="AutoShape 6">
          <a:extLst>
            <a:ext uri="{FF2B5EF4-FFF2-40B4-BE49-F238E27FC236}">
              <a16:creationId xmlns:a16="http://schemas.microsoft.com/office/drawing/2014/main" id="{7DDF63BF-9667-8EB3-E400-D3C361A4A159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211074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213360</xdr:colOff>
      <xdr:row>7</xdr:row>
      <xdr:rowOff>144780</xdr:rowOff>
    </xdr:to>
    <xdr:sp macro="" textlink="">
      <xdr:nvSpPr>
        <xdr:cNvPr id="14343" name="AutoShape 7">
          <a:extLst>
            <a:ext uri="{FF2B5EF4-FFF2-40B4-BE49-F238E27FC236}">
              <a16:creationId xmlns:a16="http://schemas.microsoft.com/office/drawing/2014/main" id="{C6FF119F-0CE8-5524-B790-7C29687855B4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234696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198120</xdr:colOff>
      <xdr:row>8</xdr:row>
      <xdr:rowOff>144780</xdr:rowOff>
    </xdr:to>
    <xdr:sp macro="" textlink="">
      <xdr:nvSpPr>
        <xdr:cNvPr id="14344" name="AutoShape 8">
          <a:extLst>
            <a:ext uri="{FF2B5EF4-FFF2-40B4-BE49-F238E27FC236}">
              <a16:creationId xmlns:a16="http://schemas.microsoft.com/office/drawing/2014/main" id="{A94BCD1C-B7BF-E24F-CA23-2F5562605F88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2720340"/>
          <a:ext cx="19812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198120</xdr:colOff>
      <xdr:row>9</xdr:row>
      <xdr:rowOff>144780</xdr:rowOff>
    </xdr:to>
    <xdr:sp macro="" textlink="">
      <xdr:nvSpPr>
        <xdr:cNvPr id="14345" name="AutoShape 9">
          <a:extLst>
            <a:ext uri="{FF2B5EF4-FFF2-40B4-BE49-F238E27FC236}">
              <a16:creationId xmlns:a16="http://schemas.microsoft.com/office/drawing/2014/main" id="{82F94F62-C225-B952-B1A4-79A0A45C8664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2956560"/>
          <a:ext cx="19812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220980</xdr:colOff>
      <xdr:row>11</xdr:row>
      <xdr:rowOff>144780</xdr:rowOff>
    </xdr:to>
    <xdr:sp macro="" textlink="">
      <xdr:nvSpPr>
        <xdr:cNvPr id="14346" name="AutoShape 10">
          <a:extLst>
            <a:ext uri="{FF2B5EF4-FFF2-40B4-BE49-F238E27FC236}">
              <a16:creationId xmlns:a16="http://schemas.microsoft.com/office/drawing/2014/main" id="{014CCBA6-2908-F56B-F64A-296E41746374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319278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213360</xdr:colOff>
      <xdr:row>12</xdr:row>
      <xdr:rowOff>144780</xdr:rowOff>
    </xdr:to>
    <xdr:sp macro="" textlink="">
      <xdr:nvSpPr>
        <xdr:cNvPr id="14347" name="AutoShape 11">
          <a:extLst>
            <a:ext uri="{FF2B5EF4-FFF2-40B4-BE49-F238E27FC236}">
              <a16:creationId xmlns:a16="http://schemas.microsoft.com/office/drawing/2014/main" id="{28039FB5-F454-F23D-EC15-8DFB14DB839F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342900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220980</xdr:colOff>
      <xdr:row>13</xdr:row>
      <xdr:rowOff>144780</xdr:rowOff>
    </xdr:to>
    <xdr:sp macro="" textlink="">
      <xdr:nvSpPr>
        <xdr:cNvPr id="14348" name="AutoShape 12">
          <a:extLst>
            <a:ext uri="{FF2B5EF4-FFF2-40B4-BE49-F238E27FC236}">
              <a16:creationId xmlns:a16="http://schemas.microsoft.com/office/drawing/2014/main" id="{192C681E-BEA7-2E2E-3F47-42CC983B4FC6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366522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213360</xdr:colOff>
      <xdr:row>14</xdr:row>
      <xdr:rowOff>144780</xdr:rowOff>
    </xdr:to>
    <xdr:sp macro="" textlink="">
      <xdr:nvSpPr>
        <xdr:cNvPr id="14349" name="AutoShape 13">
          <a:extLst>
            <a:ext uri="{FF2B5EF4-FFF2-40B4-BE49-F238E27FC236}">
              <a16:creationId xmlns:a16="http://schemas.microsoft.com/office/drawing/2014/main" id="{F03530C1-5747-9C54-4476-C3AAEF7EC558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390144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213360</xdr:colOff>
      <xdr:row>15</xdr:row>
      <xdr:rowOff>144780</xdr:rowOff>
    </xdr:to>
    <xdr:sp macro="" textlink="">
      <xdr:nvSpPr>
        <xdr:cNvPr id="14350" name="AutoShape 14">
          <a:extLst>
            <a:ext uri="{FF2B5EF4-FFF2-40B4-BE49-F238E27FC236}">
              <a16:creationId xmlns:a16="http://schemas.microsoft.com/office/drawing/2014/main" id="{B8ED9E28-9705-1E46-75EC-A78165B44C60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413766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213360</xdr:colOff>
      <xdr:row>16</xdr:row>
      <xdr:rowOff>144780</xdr:rowOff>
    </xdr:to>
    <xdr:sp macro="" textlink="">
      <xdr:nvSpPr>
        <xdr:cNvPr id="14351" name="AutoShape 15">
          <a:extLst>
            <a:ext uri="{FF2B5EF4-FFF2-40B4-BE49-F238E27FC236}">
              <a16:creationId xmlns:a16="http://schemas.microsoft.com/office/drawing/2014/main" id="{6F5CB687-D0BB-1BD6-13DE-672CEAADD787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437388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198120</xdr:colOff>
      <xdr:row>17</xdr:row>
      <xdr:rowOff>144780</xdr:rowOff>
    </xdr:to>
    <xdr:sp macro="" textlink="">
      <xdr:nvSpPr>
        <xdr:cNvPr id="14352" name="AutoShape 16">
          <a:extLst>
            <a:ext uri="{FF2B5EF4-FFF2-40B4-BE49-F238E27FC236}">
              <a16:creationId xmlns:a16="http://schemas.microsoft.com/office/drawing/2014/main" id="{443699A5-43BC-4DA9-9085-5A594B516A6F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4747260"/>
          <a:ext cx="19812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220980</xdr:colOff>
      <xdr:row>18</xdr:row>
      <xdr:rowOff>144780</xdr:rowOff>
    </xdr:to>
    <xdr:sp macro="" textlink="">
      <xdr:nvSpPr>
        <xdr:cNvPr id="14353" name="AutoShape 17">
          <a:extLst>
            <a:ext uri="{FF2B5EF4-FFF2-40B4-BE49-F238E27FC236}">
              <a16:creationId xmlns:a16="http://schemas.microsoft.com/office/drawing/2014/main" id="{D165B1C4-237F-7835-66B8-1C6007BD1B08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498348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220980</xdr:colOff>
      <xdr:row>19</xdr:row>
      <xdr:rowOff>144780</xdr:rowOff>
    </xdr:to>
    <xdr:sp macro="" textlink="">
      <xdr:nvSpPr>
        <xdr:cNvPr id="14354" name="AutoShape 18">
          <a:extLst>
            <a:ext uri="{FF2B5EF4-FFF2-40B4-BE49-F238E27FC236}">
              <a16:creationId xmlns:a16="http://schemas.microsoft.com/office/drawing/2014/main" id="{51E1CC78-3BF7-8444-1CF0-F45B95DF91CA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52197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213360</xdr:colOff>
      <xdr:row>20</xdr:row>
      <xdr:rowOff>144780</xdr:rowOff>
    </xdr:to>
    <xdr:sp macro="" textlink="">
      <xdr:nvSpPr>
        <xdr:cNvPr id="14355" name="AutoShape 19">
          <a:extLst>
            <a:ext uri="{FF2B5EF4-FFF2-40B4-BE49-F238E27FC236}">
              <a16:creationId xmlns:a16="http://schemas.microsoft.com/office/drawing/2014/main" id="{ED8D68E0-5CFC-F531-FF83-2D620C283CA0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545592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220980</xdr:colOff>
      <xdr:row>21</xdr:row>
      <xdr:rowOff>144780</xdr:rowOff>
    </xdr:to>
    <xdr:sp macro="" textlink="">
      <xdr:nvSpPr>
        <xdr:cNvPr id="14356" name="AutoShape 20">
          <a:extLst>
            <a:ext uri="{FF2B5EF4-FFF2-40B4-BE49-F238E27FC236}">
              <a16:creationId xmlns:a16="http://schemas.microsoft.com/office/drawing/2014/main" id="{B64493A2-6382-BC0F-3D3B-8616EF863D8B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56921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220980</xdr:colOff>
      <xdr:row>22</xdr:row>
      <xdr:rowOff>144780</xdr:rowOff>
    </xdr:to>
    <xdr:sp macro="" textlink="">
      <xdr:nvSpPr>
        <xdr:cNvPr id="14357" name="AutoShape 21">
          <a:extLst>
            <a:ext uri="{FF2B5EF4-FFF2-40B4-BE49-F238E27FC236}">
              <a16:creationId xmlns:a16="http://schemas.microsoft.com/office/drawing/2014/main" id="{066CD0DD-BDB5-017F-8FF3-E73C33D1304D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606552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213360</xdr:colOff>
      <xdr:row>23</xdr:row>
      <xdr:rowOff>144780</xdr:rowOff>
    </xdr:to>
    <xdr:sp macro="" textlink="">
      <xdr:nvSpPr>
        <xdr:cNvPr id="14358" name="AutoShape 22">
          <a:extLst>
            <a:ext uri="{FF2B5EF4-FFF2-40B4-BE49-F238E27FC236}">
              <a16:creationId xmlns:a16="http://schemas.microsoft.com/office/drawing/2014/main" id="{6BE94F76-4972-3FDC-0774-CFD4D0EC80AD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630174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213360</xdr:colOff>
      <xdr:row>24</xdr:row>
      <xdr:rowOff>144780</xdr:rowOff>
    </xdr:to>
    <xdr:sp macro="" textlink="">
      <xdr:nvSpPr>
        <xdr:cNvPr id="14359" name="AutoShape 23">
          <a:extLst>
            <a:ext uri="{FF2B5EF4-FFF2-40B4-BE49-F238E27FC236}">
              <a16:creationId xmlns:a16="http://schemas.microsoft.com/office/drawing/2014/main" id="{187C92BB-AF40-CC20-67AB-FD3D501354E8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656844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213360</xdr:colOff>
      <xdr:row>25</xdr:row>
      <xdr:rowOff>144780</xdr:rowOff>
    </xdr:to>
    <xdr:sp macro="" textlink="">
      <xdr:nvSpPr>
        <xdr:cNvPr id="14360" name="AutoShape 24">
          <a:extLst>
            <a:ext uri="{FF2B5EF4-FFF2-40B4-BE49-F238E27FC236}">
              <a16:creationId xmlns:a16="http://schemas.microsoft.com/office/drawing/2014/main" id="{74EA5E1B-9F4D-9036-C0E4-FFD3057A22F5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683514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213360</xdr:colOff>
      <xdr:row>26</xdr:row>
      <xdr:rowOff>144780</xdr:rowOff>
    </xdr:to>
    <xdr:sp macro="" textlink="">
      <xdr:nvSpPr>
        <xdr:cNvPr id="14361" name="AutoShape 25">
          <a:extLst>
            <a:ext uri="{FF2B5EF4-FFF2-40B4-BE49-F238E27FC236}">
              <a16:creationId xmlns:a16="http://schemas.microsoft.com/office/drawing/2014/main" id="{04607A3D-7CBB-5F79-3588-0BAEA3876F23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710184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213360</xdr:colOff>
      <xdr:row>27</xdr:row>
      <xdr:rowOff>144780</xdr:rowOff>
    </xdr:to>
    <xdr:sp macro="" textlink="">
      <xdr:nvSpPr>
        <xdr:cNvPr id="14362" name="AutoShape 26">
          <a:extLst>
            <a:ext uri="{FF2B5EF4-FFF2-40B4-BE49-F238E27FC236}">
              <a16:creationId xmlns:a16="http://schemas.microsoft.com/office/drawing/2014/main" id="{E6961184-878D-76B7-FC64-A1F7F580B5BC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733806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213360</xdr:colOff>
      <xdr:row>28</xdr:row>
      <xdr:rowOff>144780</xdr:rowOff>
    </xdr:to>
    <xdr:sp macro="" textlink="">
      <xdr:nvSpPr>
        <xdr:cNvPr id="14363" name="AutoShape 27">
          <a:extLst>
            <a:ext uri="{FF2B5EF4-FFF2-40B4-BE49-F238E27FC236}">
              <a16:creationId xmlns:a16="http://schemas.microsoft.com/office/drawing/2014/main" id="{FF89342E-418C-87BC-4021-52E9BC11A9F2}"/>
            </a:ext>
          </a:extLst>
        </xdr:cNvPr>
        <xdr:cNvSpPr>
          <a:spLocks noChangeAspect="1" noChangeArrowheads="1"/>
        </xdr:cNvSpPr>
      </xdr:nvSpPr>
      <xdr:spPr bwMode="auto">
        <a:xfrm>
          <a:off x="21275040" y="757428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22</xdr:col>
      <xdr:colOff>0</xdr:colOff>
      <xdr:row>2</xdr:row>
      <xdr:rowOff>0</xdr:rowOff>
    </xdr:from>
    <xdr:ext cx="220980" cy="14478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5A418B5-311D-4F15-BF1D-365A8451DFA9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923925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213360" cy="144780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E9FABDF-0555-42DB-A501-8795A72AEADD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296227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3</xdr:row>
      <xdr:rowOff>0</xdr:rowOff>
    </xdr:from>
    <xdr:ext cx="220980" cy="144780"/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A9044687-418A-4C1C-A8EC-21B852F642F4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116205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4</xdr:row>
      <xdr:rowOff>0</xdr:rowOff>
    </xdr:from>
    <xdr:ext cx="213360" cy="144780"/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A62C2EFA-6540-4D8B-B9FB-C881F163D74F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140017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5</xdr:row>
      <xdr:rowOff>0</xdr:rowOff>
    </xdr:from>
    <xdr:ext cx="213360" cy="144780"/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E5A60F22-B9E3-41D9-9151-87D934584A97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163830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6</xdr:row>
      <xdr:rowOff>0</xdr:rowOff>
    </xdr:from>
    <xdr:ext cx="213360" cy="144780"/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E4AA9764-B65C-4513-A373-3BE645D1AE89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187642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7</xdr:row>
      <xdr:rowOff>0</xdr:rowOff>
    </xdr:from>
    <xdr:ext cx="213360" cy="144780"/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95410752-0C0C-478C-991F-E74985CAC174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211455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8</xdr:row>
      <xdr:rowOff>0</xdr:rowOff>
    </xdr:from>
    <xdr:ext cx="198120" cy="144780"/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587E27EA-FDAA-433A-BFFE-9CCDED7D9626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2486025"/>
          <a:ext cx="19812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9</xdr:row>
      <xdr:rowOff>0</xdr:rowOff>
    </xdr:from>
    <xdr:ext cx="198120" cy="144780"/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3A0099F3-8AA3-4CCA-BB3D-17EA7A007428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2724150"/>
          <a:ext cx="19812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11</xdr:row>
      <xdr:rowOff>0</xdr:rowOff>
    </xdr:from>
    <xdr:ext cx="220980" cy="144780"/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79C54810-3E04-4F36-8932-D60CC62C1CBF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32004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12</xdr:row>
      <xdr:rowOff>0</xdr:rowOff>
    </xdr:from>
    <xdr:ext cx="213360" cy="144780"/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1E9688B7-FC39-410E-8126-990963DED114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343852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220980" cy="144780"/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BDA0081A-A169-406A-8EEE-08C4B97D9F72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367665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14</xdr:row>
      <xdr:rowOff>0</xdr:rowOff>
    </xdr:from>
    <xdr:ext cx="213360" cy="144780"/>
    <xdr:sp macro="" textlink="">
      <xdr:nvSpPr>
        <xdr:cNvPr id="14" name="AutoShape 13">
          <a:extLst>
            <a:ext uri="{FF2B5EF4-FFF2-40B4-BE49-F238E27FC236}">
              <a16:creationId xmlns:a16="http://schemas.microsoft.com/office/drawing/2014/main" id="{7C508CBD-D4A6-4C68-980E-C0B4561F616F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391477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15</xdr:row>
      <xdr:rowOff>0</xdr:rowOff>
    </xdr:from>
    <xdr:ext cx="213360" cy="144780"/>
    <xdr:sp macro="" textlink="">
      <xdr:nvSpPr>
        <xdr:cNvPr id="15" name="AutoShape 14">
          <a:extLst>
            <a:ext uri="{FF2B5EF4-FFF2-40B4-BE49-F238E27FC236}">
              <a16:creationId xmlns:a16="http://schemas.microsoft.com/office/drawing/2014/main" id="{48A67EBE-E602-482F-B0D5-A354F567C1BC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415290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16</xdr:row>
      <xdr:rowOff>0</xdr:rowOff>
    </xdr:from>
    <xdr:ext cx="213360" cy="144780"/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BA6436FE-1A4E-4A92-B439-0914CAB0923A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439102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198120" cy="144780"/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FCA5228C-CE7F-4DC1-981F-DCA6B22321B8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4762500"/>
          <a:ext cx="19812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18</xdr:row>
      <xdr:rowOff>0</xdr:rowOff>
    </xdr:from>
    <xdr:ext cx="220980" cy="144780"/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F1586F2D-950E-4D4B-A0B8-FF530D0D5DAB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5000625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19</xdr:row>
      <xdr:rowOff>0</xdr:rowOff>
    </xdr:from>
    <xdr:ext cx="220980" cy="144780"/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E52FA345-550D-453E-A49A-5D882EB5AF45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523875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20</xdr:row>
      <xdr:rowOff>0</xdr:rowOff>
    </xdr:from>
    <xdr:ext cx="213360" cy="144780"/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0E4FF6BA-680D-440A-A1EF-583A5013326E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547687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21</xdr:row>
      <xdr:rowOff>0</xdr:rowOff>
    </xdr:from>
    <xdr:ext cx="220980" cy="144780"/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93A969F1-AE22-40B2-B914-E04D301EB8F6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57150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22</xdr:row>
      <xdr:rowOff>0</xdr:rowOff>
    </xdr:from>
    <xdr:ext cx="220980" cy="144780"/>
    <xdr:sp macro="" textlink="">
      <xdr:nvSpPr>
        <xdr:cNvPr id="22" name="AutoShape 21">
          <a:extLst>
            <a:ext uri="{FF2B5EF4-FFF2-40B4-BE49-F238E27FC236}">
              <a16:creationId xmlns:a16="http://schemas.microsoft.com/office/drawing/2014/main" id="{B77C03D3-F471-4677-AA30-D53DB98A0EE4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6086475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23</xdr:row>
      <xdr:rowOff>0</xdr:rowOff>
    </xdr:from>
    <xdr:ext cx="213360" cy="144780"/>
    <xdr:sp macro="" textlink="">
      <xdr:nvSpPr>
        <xdr:cNvPr id="23" name="AutoShape 22">
          <a:extLst>
            <a:ext uri="{FF2B5EF4-FFF2-40B4-BE49-F238E27FC236}">
              <a16:creationId xmlns:a16="http://schemas.microsoft.com/office/drawing/2014/main" id="{497E9800-ACA5-4604-969A-CC445467FD48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632460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213360" cy="144780"/>
    <xdr:sp macro="" textlink="">
      <xdr:nvSpPr>
        <xdr:cNvPr id="24" name="AutoShape 23">
          <a:extLst>
            <a:ext uri="{FF2B5EF4-FFF2-40B4-BE49-F238E27FC236}">
              <a16:creationId xmlns:a16="http://schemas.microsoft.com/office/drawing/2014/main" id="{9FE80B6E-AD2A-4F3A-99BD-58181F0A06CC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659130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25</xdr:row>
      <xdr:rowOff>0</xdr:rowOff>
    </xdr:from>
    <xdr:ext cx="213360" cy="144780"/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774D2D7E-DB40-4FD0-9B08-651BE4E392E4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685800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26</xdr:row>
      <xdr:rowOff>0</xdr:rowOff>
    </xdr:from>
    <xdr:ext cx="213360" cy="144780"/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7964E1E6-58F7-4A2B-8FDE-DFC9CD7B88E7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712470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27</xdr:row>
      <xdr:rowOff>0</xdr:rowOff>
    </xdr:from>
    <xdr:ext cx="213360" cy="144780"/>
    <xdr:sp macro="" textlink="">
      <xdr:nvSpPr>
        <xdr:cNvPr id="27" name="AutoShape 26">
          <a:extLst>
            <a:ext uri="{FF2B5EF4-FFF2-40B4-BE49-F238E27FC236}">
              <a16:creationId xmlns:a16="http://schemas.microsoft.com/office/drawing/2014/main" id="{63E35C87-AD67-41A6-B9A8-A5C31E56E786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736282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28</xdr:row>
      <xdr:rowOff>0</xdr:rowOff>
    </xdr:from>
    <xdr:ext cx="213360" cy="144780"/>
    <xdr:sp macro="" textlink="">
      <xdr:nvSpPr>
        <xdr:cNvPr id="28" name="AutoShape 27">
          <a:extLst>
            <a:ext uri="{FF2B5EF4-FFF2-40B4-BE49-F238E27FC236}">
              <a16:creationId xmlns:a16="http://schemas.microsoft.com/office/drawing/2014/main" id="{3265E41A-65AA-451C-A84C-9BEF80C19152}"/>
            </a:ext>
          </a:extLst>
        </xdr:cNvPr>
        <xdr:cNvSpPr>
          <a:spLocks noChangeAspect="1" noChangeArrowheads="1"/>
        </xdr:cNvSpPr>
      </xdr:nvSpPr>
      <xdr:spPr bwMode="auto">
        <a:xfrm>
          <a:off x="21278850" y="760095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</xdr:row>
      <xdr:rowOff>0</xdr:rowOff>
    </xdr:from>
    <xdr:ext cx="220980" cy="14478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86AEEC7E-D3B0-4105-B4F7-061A290112D9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923925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220980" cy="14478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9F3D31B8-F6CB-4AB7-BD8A-D70B6BF01FA0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923925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220980" cy="144780"/>
    <xdr:sp macro="" textlink="">
      <xdr:nvSpPr>
        <xdr:cNvPr id="31" name="AutoShape 3">
          <a:extLst>
            <a:ext uri="{FF2B5EF4-FFF2-40B4-BE49-F238E27FC236}">
              <a16:creationId xmlns:a16="http://schemas.microsoft.com/office/drawing/2014/main" id="{393E93FF-C77F-42C4-A267-E48BACAFA25C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116205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6</xdr:row>
      <xdr:rowOff>0</xdr:rowOff>
    </xdr:from>
    <xdr:ext cx="213360" cy="144780"/>
    <xdr:sp macro="" textlink="">
      <xdr:nvSpPr>
        <xdr:cNvPr id="32" name="AutoShape 4">
          <a:extLst>
            <a:ext uri="{FF2B5EF4-FFF2-40B4-BE49-F238E27FC236}">
              <a16:creationId xmlns:a16="http://schemas.microsoft.com/office/drawing/2014/main" id="{441C9EB5-D728-49E4-A3A8-2C149F3C5ADC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153352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7</xdr:row>
      <xdr:rowOff>0</xdr:rowOff>
    </xdr:from>
    <xdr:ext cx="213360" cy="144780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FDF9287A-57F5-4E0B-98D0-29190BB0E69C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190500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8</xdr:row>
      <xdr:rowOff>0</xdr:rowOff>
    </xdr:from>
    <xdr:ext cx="213360" cy="144780"/>
    <xdr:sp macro="" textlink="">
      <xdr:nvSpPr>
        <xdr:cNvPr id="34" name="AutoShape 6">
          <a:extLst>
            <a:ext uri="{FF2B5EF4-FFF2-40B4-BE49-F238E27FC236}">
              <a16:creationId xmlns:a16="http://schemas.microsoft.com/office/drawing/2014/main" id="{CCE549AC-5E7F-4937-AD70-BE983DBA21C3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227647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9</xdr:row>
      <xdr:rowOff>0</xdr:rowOff>
    </xdr:from>
    <xdr:ext cx="213360" cy="144780"/>
    <xdr:sp macro="" textlink="">
      <xdr:nvSpPr>
        <xdr:cNvPr id="35" name="AutoShape 7">
          <a:extLst>
            <a:ext uri="{FF2B5EF4-FFF2-40B4-BE49-F238E27FC236}">
              <a16:creationId xmlns:a16="http://schemas.microsoft.com/office/drawing/2014/main" id="{AA182F6A-58B0-4A30-84BD-9362457389F2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251460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10</xdr:row>
      <xdr:rowOff>0</xdr:rowOff>
    </xdr:from>
    <xdr:ext cx="198120" cy="144780"/>
    <xdr:sp macro="" textlink="">
      <xdr:nvSpPr>
        <xdr:cNvPr id="36" name="AutoShape 8">
          <a:extLst>
            <a:ext uri="{FF2B5EF4-FFF2-40B4-BE49-F238E27FC236}">
              <a16:creationId xmlns:a16="http://schemas.microsoft.com/office/drawing/2014/main" id="{99724364-E44D-42A0-904D-FE09B49AF723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3067050"/>
          <a:ext cx="19812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11</xdr:row>
      <xdr:rowOff>0</xdr:rowOff>
    </xdr:from>
    <xdr:ext cx="220980" cy="14478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A97545A9-C3C2-42F1-841B-79BB1A5C0A11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923925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13</xdr:row>
      <xdr:rowOff>0</xdr:rowOff>
    </xdr:from>
    <xdr:ext cx="213360" cy="144780"/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41512BF6-2047-4B76-8338-3BCD4619C868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412432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12</xdr:row>
      <xdr:rowOff>0</xdr:rowOff>
    </xdr:from>
    <xdr:ext cx="198120" cy="144780"/>
    <xdr:sp macro="" textlink="">
      <xdr:nvSpPr>
        <xdr:cNvPr id="39" name="AutoShape 9">
          <a:extLst>
            <a:ext uri="{FF2B5EF4-FFF2-40B4-BE49-F238E27FC236}">
              <a16:creationId xmlns:a16="http://schemas.microsoft.com/office/drawing/2014/main" id="{6EEF90B1-6582-49E4-90D0-03328B8DB52C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3571875"/>
          <a:ext cx="19812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14</xdr:row>
      <xdr:rowOff>0</xdr:rowOff>
    </xdr:from>
    <xdr:ext cx="220980" cy="144780"/>
    <xdr:sp macro="" textlink="">
      <xdr:nvSpPr>
        <xdr:cNvPr id="40" name="AutoShape 10">
          <a:extLst>
            <a:ext uri="{FF2B5EF4-FFF2-40B4-BE49-F238E27FC236}">
              <a16:creationId xmlns:a16="http://schemas.microsoft.com/office/drawing/2014/main" id="{187F7D41-E029-43D3-86D5-1EA369489D58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44958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15</xdr:row>
      <xdr:rowOff>0</xdr:rowOff>
    </xdr:from>
    <xdr:ext cx="213360" cy="144780"/>
    <xdr:sp macro="" textlink="">
      <xdr:nvSpPr>
        <xdr:cNvPr id="41" name="AutoShape 11">
          <a:extLst>
            <a:ext uri="{FF2B5EF4-FFF2-40B4-BE49-F238E27FC236}">
              <a16:creationId xmlns:a16="http://schemas.microsoft.com/office/drawing/2014/main" id="{368D4968-EB5F-4422-B73C-1BAE43F2671F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473392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16</xdr:row>
      <xdr:rowOff>0</xdr:rowOff>
    </xdr:from>
    <xdr:ext cx="220980" cy="144780"/>
    <xdr:sp macro="" textlink="">
      <xdr:nvSpPr>
        <xdr:cNvPr id="42" name="AutoShape 12">
          <a:extLst>
            <a:ext uri="{FF2B5EF4-FFF2-40B4-BE49-F238E27FC236}">
              <a16:creationId xmlns:a16="http://schemas.microsoft.com/office/drawing/2014/main" id="{2990E491-8EFB-43BD-B47F-6682A3B6C16F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51054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213360" cy="144780"/>
    <xdr:sp macro="" textlink="">
      <xdr:nvSpPr>
        <xdr:cNvPr id="43" name="AutoShape 13">
          <a:extLst>
            <a:ext uri="{FF2B5EF4-FFF2-40B4-BE49-F238E27FC236}">
              <a16:creationId xmlns:a16="http://schemas.microsoft.com/office/drawing/2014/main" id="{2EBD358E-53C9-4ADB-8BB4-B092D1361FF7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547687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18</xdr:row>
      <xdr:rowOff>0</xdr:rowOff>
    </xdr:from>
    <xdr:ext cx="213360" cy="144780"/>
    <xdr:sp macro="" textlink="">
      <xdr:nvSpPr>
        <xdr:cNvPr id="44" name="AutoShape 14">
          <a:extLst>
            <a:ext uri="{FF2B5EF4-FFF2-40B4-BE49-F238E27FC236}">
              <a16:creationId xmlns:a16="http://schemas.microsoft.com/office/drawing/2014/main" id="{68E74710-1826-4E79-B4CC-543F200753C4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584835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19</xdr:row>
      <xdr:rowOff>0</xdr:rowOff>
    </xdr:from>
    <xdr:ext cx="213360" cy="144780"/>
    <xdr:sp macro="" textlink="">
      <xdr:nvSpPr>
        <xdr:cNvPr id="45" name="AutoShape 15">
          <a:extLst>
            <a:ext uri="{FF2B5EF4-FFF2-40B4-BE49-F238E27FC236}">
              <a16:creationId xmlns:a16="http://schemas.microsoft.com/office/drawing/2014/main" id="{437E105B-A4B2-474E-84A1-E85F085DED6E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608647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20</xdr:row>
      <xdr:rowOff>0</xdr:rowOff>
    </xdr:from>
    <xdr:ext cx="198120" cy="144780"/>
    <xdr:sp macro="" textlink="">
      <xdr:nvSpPr>
        <xdr:cNvPr id="46" name="AutoShape 16">
          <a:extLst>
            <a:ext uri="{FF2B5EF4-FFF2-40B4-BE49-F238E27FC236}">
              <a16:creationId xmlns:a16="http://schemas.microsoft.com/office/drawing/2014/main" id="{037BE7B3-F523-453E-8DBF-65D83ADC379D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6638925"/>
          <a:ext cx="19812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21</xdr:row>
      <xdr:rowOff>0</xdr:rowOff>
    </xdr:from>
    <xdr:ext cx="220980" cy="144780"/>
    <xdr:sp macro="" textlink="">
      <xdr:nvSpPr>
        <xdr:cNvPr id="47" name="AutoShape 17">
          <a:extLst>
            <a:ext uri="{FF2B5EF4-FFF2-40B4-BE49-F238E27FC236}">
              <a16:creationId xmlns:a16="http://schemas.microsoft.com/office/drawing/2014/main" id="{38360B62-9873-458D-875B-1C86D4ADECDB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70104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22</xdr:row>
      <xdr:rowOff>0</xdr:rowOff>
    </xdr:from>
    <xdr:ext cx="220980" cy="144780"/>
    <xdr:sp macro="" textlink="">
      <xdr:nvSpPr>
        <xdr:cNvPr id="48" name="AutoShape 18">
          <a:extLst>
            <a:ext uri="{FF2B5EF4-FFF2-40B4-BE49-F238E27FC236}">
              <a16:creationId xmlns:a16="http://schemas.microsoft.com/office/drawing/2014/main" id="{CB413153-2DF0-42E5-B21B-AE6FEB039C3E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7381875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23</xdr:row>
      <xdr:rowOff>0</xdr:rowOff>
    </xdr:from>
    <xdr:ext cx="213360" cy="144780"/>
    <xdr:sp macro="" textlink="">
      <xdr:nvSpPr>
        <xdr:cNvPr id="49" name="AutoShape 19">
          <a:extLst>
            <a:ext uri="{FF2B5EF4-FFF2-40B4-BE49-F238E27FC236}">
              <a16:creationId xmlns:a16="http://schemas.microsoft.com/office/drawing/2014/main" id="{0B5287B8-5A00-4DE5-BBA8-DC4FC5F73D6F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762000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220980" cy="144780"/>
    <xdr:sp macro="" textlink="">
      <xdr:nvSpPr>
        <xdr:cNvPr id="50" name="AutoShape 20">
          <a:extLst>
            <a:ext uri="{FF2B5EF4-FFF2-40B4-BE49-F238E27FC236}">
              <a16:creationId xmlns:a16="http://schemas.microsoft.com/office/drawing/2014/main" id="{84DE7FBF-1B08-4966-A41B-ABFE690FFA4C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7858125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25</xdr:row>
      <xdr:rowOff>0</xdr:rowOff>
    </xdr:from>
    <xdr:ext cx="220980" cy="144780"/>
    <xdr:sp macro="" textlink="">
      <xdr:nvSpPr>
        <xdr:cNvPr id="51" name="AutoShape 21">
          <a:extLst>
            <a:ext uri="{FF2B5EF4-FFF2-40B4-BE49-F238E27FC236}">
              <a16:creationId xmlns:a16="http://schemas.microsoft.com/office/drawing/2014/main" id="{FCAF370A-0A07-4184-AF4D-77883E557612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8410575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26</xdr:row>
      <xdr:rowOff>0</xdr:rowOff>
    </xdr:from>
    <xdr:ext cx="213360" cy="144780"/>
    <xdr:sp macro="" textlink="">
      <xdr:nvSpPr>
        <xdr:cNvPr id="52" name="AutoShape 22">
          <a:extLst>
            <a:ext uri="{FF2B5EF4-FFF2-40B4-BE49-F238E27FC236}">
              <a16:creationId xmlns:a16="http://schemas.microsoft.com/office/drawing/2014/main" id="{0105F5A1-FC53-4F08-8C7A-6682B8FC4F05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864870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27</xdr:row>
      <xdr:rowOff>0</xdr:rowOff>
    </xdr:from>
    <xdr:ext cx="213360" cy="144780"/>
    <xdr:sp macro="" textlink="">
      <xdr:nvSpPr>
        <xdr:cNvPr id="53" name="AutoShape 23">
          <a:extLst>
            <a:ext uri="{FF2B5EF4-FFF2-40B4-BE49-F238E27FC236}">
              <a16:creationId xmlns:a16="http://schemas.microsoft.com/office/drawing/2014/main" id="{3723330B-5AC8-42C6-BF0E-CC5F365E8F2C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891540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28</xdr:row>
      <xdr:rowOff>0</xdr:rowOff>
    </xdr:from>
    <xdr:ext cx="213360" cy="144780"/>
    <xdr:sp macro="" textlink="">
      <xdr:nvSpPr>
        <xdr:cNvPr id="54" name="AutoShape 24">
          <a:extLst>
            <a:ext uri="{FF2B5EF4-FFF2-40B4-BE49-F238E27FC236}">
              <a16:creationId xmlns:a16="http://schemas.microsoft.com/office/drawing/2014/main" id="{623D7122-674A-421F-BCBC-4D2EB062FFFD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928687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213360" cy="144780"/>
    <xdr:sp macro="" textlink="">
      <xdr:nvSpPr>
        <xdr:cNvPr id="55" name="AutoShape 25">
          <a:extLst>
            <a:ext uri="{FF2B5EF4-FFF2-40B4-BE49-F238E27FC236}">
              <a16:creationId xmlns:a16="http://schemas.microsoft.com/office/drawing/2014/main" id="{182D5492-7EBD-47E2-8D9F-1645A7018810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955357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30</xdr:row>
      <xdr:rowOff>0</xdr:rowOff>
    </xdr:from>
    <xdr:ext cx="213360" cy="144780"/>
    <xdr:sp macro="" textlink="">
      <xdr:nvSpPr>
        <xdr:cNvPr id="56" name="AutoShape 26">
          <a:extLst>
            <a:ext uri="{FF2B5EF4-FFF2-40B4-BE49-F238E27FC236}">
              <a16:creationId xmlns:a16="http://schemas.microsoft.com/office/drawing/2014/main" id="{540C64AF-14EA-490E-A737-192CCB5704CD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979170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31</xdr:row>
      <xdr:rowOff>0</xdr:rowOff>
    </xdr:from>
    <xdr:ext cx="213360" cy="144780"/>
    <xdr:sp macro="" textlink="">
      <xdr:nvSpPr>
        <xdr:cNvPr id="57" name="AutoShape 27">
          <a:extLst>
            <a:ext uri="{FF2B5EF4-FFF2-40B4-BE49-F238E27FC236}">
              <a16:creationId xmlns:a16="http://schemas.microsoft.com/office/drawing/2014/main" id="{5FBC1071-14DE-461A-9CAE-46C656EC7619}"/>
            </a:ext>
          </a:extLst>
        </xdr:cNvPr>
        <xdr:cNvSpPr>
          <a:spLocks noChangeAspect="1" noChangeArrowheads="1"/>
        </xdr:cNvSpPr>
      </xdr:nvSpPr>
      <xdr:spPr bwMode="auto">
        <a:xfrm>
          <a:off x="24441150" y="1002982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</xdr:row>
      <xdr:rowOff>0</xdr:rowOff>
    </xdr:from>
    <xdr:ext cx="220980" cy="144780"/>
    <xdr:sp macro="" textlink="">
      <xdr:nvSpPr>
        <xdr:cNvPr id="58" name="AutoShape 3">
          <a:extLst>
            <a:ext uri="{FF2B5EF4-FFF2-40B4-BE49-F238E27FC236}">
              <a16:creationId xmlns:a16="http://schemas.microsoft.com/office/drawing/2014/main" id="{9B6A3D95-900F-422D-B828-75091750584C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16383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</xdr:row>
      <xdr:rowOff>0</xdr:rowOff>
    </xdr:from>
    <xdr:ext cx="213360" cy="144780"/>
    <xdr:sp macro="" textlink="">
      <xdr:nvSpPr>
        <xdr:cNvPr id="59" name="AutoShape 4">
          <a:extLst>
            <a:ext uri="{FF2B5EF4-FFF2-40B4-BE49-F238E27FC236}">
              <a16:creationId xmlns:a16="http://schemas.microsoft.com/office/drawing/2014/main" id="{68842000-F5F7-4089-9A14-602BFB71F5D2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200977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</xdr:row>
      <xdr:rowOff>0</xdr:rowOff>
    </xdr:from>
    <xdr:ext cx="213360" cy="144780"/>
    <xdr:sp macro="" textlink="">
      <xdr:nvSpPr>
        <xdr:cNvPr id="60" name="AutoShape 5">
          <a:extLst>
            <a:ext uri="{FF2B5EF4-FFF2-40B4-BE49-F238E27FC236}">
              <a16:creationId xmlns:a16="http://schemas.microsoft.com/office/drawing/2014/main" id="{41CF8213-583F-41AC-84C1-96AA5F4DBEB2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238125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</xdr:row>
      <xdr:rowOff>0</xdr:rowOff>
    </xdr:from>
    <xdr:ext cx="213360" cy="144780"/>
    <xdr:sp macro="" textlink="">
      <xdr:nvSpPr>
        <xdr:cNvPr id="61" name="AutoShape 6">
          <a:extLst>
            <a:ext uri="{FF2B5EF4-FFF2-40B4-BE49-F238E27FC236}">
              <a16:creationId xmlns:a16="http://schemas.microsoft.com/office/drawing/2014/main" id="{695AC3B0-19BF-4343-B56A-0971B9700EDD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275272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</xdr:row>
      <xdr:rowOff>0</xdr:rowOff>
    </xdr:from>
    <xdr:ext cx="213360" cy="144780"/>
    <xdr:sp macro="" textlink="">
      <xdr:nvSpPr>
        <xdr:cNvPr id="62" name="AutoShape 7">
          <a:extLst>
            <a:ext uri="{FF2B5EF4-FFF2-40B4-BE49-F238E27FC236}">
              <a16:creationId xmlns:a16="http://schemas.microsoft.com/office/drawing/2014/main" id="{214845FE-A7B2-4BD4-8422-C5DD77907801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299085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7</xdr:row>
      <xdr:rowOff>0</xdr:rowOff>
    </xdr:from>
    <xdr:ext cx="198120" cy="144780"/>
    <xdr:sp macro="" textlink="">
      <xdr:nvSpPr>
        <xdr:cNvPr id="63" name="AutoShape 8">
          <a:extLst>
            <a:ext uri="{FF2B5EF4-FFF2-40B4-BE49-F238E27FC236}">
              <a16:creationId xmlns:a16="http://schemas.microsoft.com/office/drawing/2014/main" id="{C0DB7BE4-6742-43DD-B377-A55F4AB1A3AC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3543300"/>
          <a:ext cx="19812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0</xdr:rowOff>
    </xdr:from>
    <xdr:ext cx="220980" cy="144780"/>
    <xdr:sp macro="" textlink="">
      <xdr:nvSpPr>
        <xdr:cNvPr id="14336" name="AutoShape 1">
          <a:extLst>
            <a:ext uri="{FF2B5EF4-FFF2-40B4-BE49-F238E27FC236}">
              <a16:creationId xmlns:a16="http://schemas.microsoft.com/office/drawing/2014/main" id="{E625672A-FDBE-4559-991A-C82BF66FC93E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3914775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</xdr:row>
      <xdr:rowOff>0</xdr:rowOff>
    </xdr:from>
    <xdr:ext cx="213360" cy="144780"/>
    <xdr:sp macro="" textlink="">
      <xdr:nvSpPr>
        <xdr:cNvPr id="14364" name="AutoShape 2">
          <a:extLst>
            <a:ext uri="{FF2B5EF4-FFF2-40B4-BE49-F238E27FC236}">
              <a16:creationId xmlns:a16="http://schemas.microsoft.com/office/drawing/2014/main" id="{CEC8DAEF-E161-4679-A2C2-4024B8B7C99D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452437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</xdr:row>
      <xdr:rowOff>0</xdr:rowOff>
    </xdr:from>
    <xdr:ext cx="198120" cy="144780"/>
    <xdr:sp macro="" textlink="">
      <xdr:nvSpPr>
        <xdr:cNvPr id="14365" name="AutoShape 9">
          <a:extLst>
            <a:ext uri="{FF2B5EF4-FFF2-40B4-BE49-F238E27FC236}">
              <a16:creationId xmlns:a16="http://schemas.microsoft.com/office/drawing/2014/main" id="{72A98201-8F79-4482-8106-02040D923300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4152900"/>
          <a:ext cx="19812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</xdr:row>
      <xdr:rowOff>0</xdr:rowOff>
    </xdr:from>
    <xdr:ext cx="220980" cy="144780"/>
    <xdr:sp macro="" textlink="">
      <xdr:nvSpPr>
        <xdr:cNvPr id="14366" name="AutoShape 10">
          <a:extLst>
            <a:ext uri="{FF2B5EF4-FFF2-40B4-BE49-F238E27FC236}">
              <a16:creationId xmlns:a16="http://schemas.microsoft.com/office/drawing/2014/main" id="{54994A30-E532-47B8-8AFA-517263C18A43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47625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</xdr:row>
      <xdr:rowOff>0</xdr:rowOff>
    </xdr:from>
    <xdr:ext cx="213360" cy="144780"/>
    <xdr:sp macro="" textlink="">
      <xdr:nvSpPr>
        <xdr:cNvPr id="14367" name="AutoShape 11">
          <a:extLst>
            <a:ext uri="{FF2B5EF4-FFF2-40B4-BE49-F238E27FC236}">
              <a16:creationId xmlns:a16="http://schemas.microsoft.com/office/drawing/2014/main" id="{CE67E203-DDCC-490C-A603-86C268A31961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500062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13</xdr:row>
      <xdr:rowOff>0</xdr:rowOff>
    </xdr:from>
    <xdr:ext cx="220980" cy="144780"/>
    <xdr:sp macro="" textlink="">
      <xdr:nvSpPr>
        <xdr:cNvPr id="14368" name="AutoShape 12">
          <a:extLst>
            <a:ext uri="{FF2B5EF4-FFF2-40B4-BE49-F238E27FC236}">
              <a16:creationId xmlns:a16="http://schemas.microsoft.com/office/drawing/2014/main" id="{D7E888DE-6B3F-45CF-AB57-12CB48CFC1D6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53721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</xdr:row>
      <xdr:rowOff>0</xdr:rowOff>
    </xdr:from>
    <xdr:ext cx="213360" cy="144780"/>
    <xdr:sp macro="" textlink="">
      <xdr:nvSpPr>
        <xdr:cNvPr id="14369" name="AutoShape 13">
          <a:extLst>
            <a:ext uri="{FF2B5EF4-FFF2-40B4-BE49-F238E27FC236}">
              <a16:creationId xmlns:a16="http://schemas.microsoft.com/office/drawing/2014/main" id="{79418A24-0F40-48CE-8632-6FD7843442D5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574357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15</xdr:row>
      <xdr:rowOff>0</xdr:rowOff>
    </xdr:from>
    <xdr:ext cx="213360" cy="144780"/>
    <xdr:sp macro="" textlink="">
      <xdr:nvSpPr>
        <xdr:cNvPr id="14370" name="AutoShape 14">
          <a:extLst>
            <a:ext uri="{FF2B5EF4-FFF2-40B4-BE49-F238E27FC236}">
              <a16:creationId xmlns:a16="http://schemas.microsoft.com/office/drawing/2014/main" id="{BF084C38-E1C7-4341-95EA-C1EF04B90E5B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611505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</xdr:row>
      <xdr:rowOff>0</xdr:rowOff>
    </xdr:from>
    <xdr:ext cx="213360" cy="144780"/>
    <xdr:sp macro="" textlink="">
      <xdr:nvSpPr>
        <xdr:cNvPr id="14371" name="AutoShape 15">
          <a:extLst>
            <a:ext uri="{FF2B5EF4-FFF2-40B4-BE49-F238E27FC236}">
              <a16:creationId xmlns:a16="http://schemas.microsoft.com/office/drawing/2014/main" id="{940A0463-B3B2-4144-AEDB-6E6E712F0302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635317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17</xdr:row>
      <xdr:rowOff>0</xdr:rowOff>
    </xdr:from>
    <xdr:ext cx="198120" cy="144780"/>
    <xdr:sp macro="" textlink="">
      <xdr:nvSpPr>
        <xdr:cNvPr id="14372" name="AutoShape 16">
          <a:extLst>
            <a:ext uri="{FF2B5EF4-FFF2-40B4-BE49-F238E27FC236}">
              <a16:creationId xmlns:a16="http://schemas.microsoft.com/office/drawing/2014/main" id="{82272137-9288-4319-836D-A86D56004374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6905625"/>
          <a:ext cx="19812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</xdr:row>
      <xdr:rowOff>0</xdr:rowOff>
    </xdr:from>
    <xdr:ext cx="220980" cy="144780"/>
    <xdr:sp macro="" textlink="">
      <xdr:nvSpPr>
        <xdr:cNvPr id="14373" name="AutoShape 17">
          <a:extLst>
            <a:ext uri="{FF2B5EF4-FFF2-40B4-BE49-F238E27FC236}">
              <a16:creationId xmlns:a16="http://schemas.microsoft.com/office/drawing/2014/main" id="{0532A4CB-CA95-4572-A5F0-255B1A2D4E14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72771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</xdr:row>
      <xdr:rowOff>0</xdr:rowOff>
    </xdr:from>
    <xdr:ext cx="220980" cy="144780"/>
    <xdr:sp macro="" textlink="">
      <xdr:nvSpPr>
        <xdr:cNvPr id="14374" name="AutoShape 18">
          <a:extLst>
            <a:ext uri="{FF2B5EF4-FFF2-40B4-BE49-F238E27FC236}">
              <a16:creationId xmlns:a16="http://schemas.microsoft.com/office/drawing/2014/main" id="{9820A6E5-2E0B-4467-A127-272F7B918098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7648575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</xdr:row>
      <xdr:rowOff>0</xdr:rowOff>
    </xdr:from>
    <xdr:ext cx="213360" cy="144780"/>
    <xdr:sp macro="" textlink="">
      <xdr:nvSpPr>
        <xdr:cNvPr id="14375" name="AutoShape 19">
          <a:extLst>
            <a:ext uri="{FF2B5EF4-FFF2-40B4-BE49-F238E27FC236}">
              <a16:creationId xmlns:a16="http://schemas.microsoft.com/office/drawing/2014/main" id="{D7C0D7C1-1FA0-4E01-9A0B-4452EFE7A97F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788670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</xdr:row>
      <xdr:rowOff>0</xdr:rowOff>
    </xdr:from>
    <xdr:ext cx="220980" cy="144780"/>
    <xdr:sp macro="" textlink="">
      <xdr:nvSpPr>
        <xdr:cNvPr id="14376" name="AutoShape 20">
          <a:extLst>
            <a:ext uri="{FF2B5EF4-FFF2-40B4-BE49-F238E27FC236}">
              <a16:creationId xmlns:a16="http://schemas.microsoft.com/office/drawing/2014/main" id="{D01C23B1-1665-4D39-971C-CFAD8BCFE788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81534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</xdr:row>
      <xdr:rowOff>0</xdr:rowOff>
    </xdr:from>
    <xdr:ext cx="220980" cy="144780"/>
    <xdr:sp macro="" textlink="">
      <xdr:nvSpPr>
        <xdr:cNvPr id="14377" name="AutoShape 21">
          <a:extLst>
            <a:ext uri="{FF2B5EF4-FFF2-40B4-BE49-F238E27FC236}">
              <a16:creationId xmlns:a16="http://schemas.microsoft.com/office/drawing/2014/main" id="{858761A5-DD81-4F34-943A-69EBBB5F6724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870585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</xdr:row>
      <xdr:rowOff>0</xdr:rowOff>
    </xdr:from>
    <xdr:ext cx="213360" cy="144780"/>
    <xdr:sp macro="" textlink="">
      <xdr:nvSpPr>
        <xdr:cNvPr id="14378" name="AutoShape 22">
          <a:extLst>
            <a:ext uri="{FF2B5EF4-FFF2-40B4-BE49-F238E27FC236}">
              <a16:creationId xmlns:a16="http://schemas.microsoft.com/office/drawing/2014/main" id="{81762AB2-2730-41A4-833B-24B9E62CD022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897255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</xdr:row>
      <xdr:rowOff>0</xdr:rowOff>
    </xdr:from>
    <xdr:ext cx="213360" cy="144780"/>
    <xdr:sp macro="" textlink="">
      <xdr:nvSpPr>
        <xdr:cNvPr id="14379" name="AutoShape 23">
          <a:extLst>
            <a:ext uri="{FF2B5EF4-FFF2-40B4-BE49-F238E27FC236}">
              <a16:creationId xmlns:a16="http://schemas.microsoft.com/office/drawing/2014/main" id="{AFDE8728-587F-48B5-86BC-364F51E6AD6B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921067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</xdr:row>
      <xdr:rowOff>0</xdr:rowOff>
    </xdr:from>
    <xdr:ext cx="213360" cy="144780"/>
    <xdr:sp macro="" textlink="">
      <xdr:nvSpPr>
        <xdr:cNvPr id="14380" name="AutoShape 24">
          <a:extLst>
            <a:ext uri="{FF2B5EF4-FFF2-40B4-BE49-F238E27FC236}">
              <a16:creationId xmlns:a16="http://schemas.microsoft.com/office/drawing/2014/main" id="{D17EDE68-CDF0-4943-8449-72B1A842D03E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9582150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</xdr:row>
      <xdr:rowOff>0</xdr:rowOff>
    </xdr:from>
    <xdr:ext cx="213360" cy="144780"/>
    <xdr:sp macro="" textlink="">
      <xdr:nvSpPr>
        <xdr:cNvPr id="14381" name="AutoShape 25">
          <a:extLst>
            <a:ext uri="{FF2B5EF4-FFF2-40B4-BE49-F238E27FC236}">
              <a16:creationId xmlns:a16="http://schemas.microsoft.com/office/drawing/2014/main" id="{1EBE2765-E3E2-4053-A7AD-D8A127C57F75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982027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213360" cy="144780"/>
    <xdr:sp macro="" textlink="">
      <xdr:nvSpPr>
        <xdr:cNvPr id="14382" name="AutoShape 26">
          <a:extLst>
            <a:ext uri="{FF2B5EF4-FFF2-40B4-BE49-F238E27FC236}">
              <a16:creationId xmlns:a16="http://schemas.microsoft.com/office/drawing/2014/main" id="{4E4FA8D7-F55D-4000-98CD-5FB864BBDFE6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1008697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</xdr:row>
      <xdr:rowOff>0</xdr:rowOff>
    </xdr:from>
    <xdr:ext cx="213360" cy="144780"/>
    <xdr:sp macro="" textlink="">
      <xdr:nvSpPr>
        <xdr:cNvPr id="14383" name="AutoShape 27">
          <a:extLst>
            <a:ext uri="{FF2B5EF4-FFF2-40B4-BE49-F238E27FC236}">
              <a16:creationId xmlns:a16="http://schemas.microsoft.com/office/drawing/2014/main" id="{ACDEBC4B-7679-4DC3-A219-758E86E57856}"/>
            </a:ext>
          </a:extLst>
        </xdr:cNvPr>
        <xdr:cNvSpPr>
          <a:spLocks noChangeAspect="1" noChangeArrowheads="1"/>
        </xdr:cNvSpPr>
      </xdr:nvSpPr>
      <xdr:spPr bwMode="auto">
        <a:xfrm>
          <a:off x="26879550" y="10353675"/>
          <a:ext cx="213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0</xdr:row>
      <xdr:rowOff>57150</xdr:rowOff>
    </xdr:from>
    <xdr:to>
      <xdr:col>12</xdr:col>
      <xdr:colOff>167640</xdr:colOff>
      <xdr:row>12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02BA72-1C53-632D-04CA-452EEDCC4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281940</xdr:colOff>
      <xdr:row>0</xdr:row>
      <xdr:rowOff>64770</xdr:rowOff>
    </xdr:from>
    <xdr:to>
      <xdr:col>18</xdr:col>
      <xdr:colOff>525780</xdr:colOff>
      <xdr:row>12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4A46F8-A975-D95C-BAE1-5B4003959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266700</xdr:colOff>
      <xdr:row>12</xdr:row>
      <xdr:rowOff>68580</xdr:rowOff>
    </xdr:from>
    <xdr:to>
      <xdr:col>18</xdr:col>
      <xdr:colOff>533400</xdr:colOff>
      <xdr:row>24</xdr:row>
      <xdr:rowOff>110490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6C2E16-D9D4-22FF-6E00-C88022CE9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1386840</xdr:colOff>
      <xdr:row>19</xdr:row>
      <xdr:rowOff>68580</xdr:rowOff>
    </xdr:from>
    <xdr:to>
      <xdr:col>9</xdr:col>
      <xdr:colOff>114300</xdr:colOff>
      <xdr:row>39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CF9B05-9382-3C88-7634-87B8DD8D9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403860</xdr:colOff>
      <xdr:row>0</xdr:row>
      <xdr:rowOff>72390</xdr:rowOff>
    </xdr:from>
    <xdr:to>
      <xdr:col>5</xdr:col>
      <xdr:colOff>1524000</xdr:colOff>
      <xdr:row>15</xdr:row>
      <xdr:rowOff>72390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B0AAF7-D892-DB7F-A8D2-9274D1D70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175260</xdr:colOff>
      <xdr:row>4</xdr:row>
      <xdr:rowOff>26670</xdr:rowOff>
    </xdr:from>
    <xdr:to>
      <xdr:col>19</xdr:col>
      <xdr:colOff>0</xdr:colOff>
      <xdr:row>27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6D7023-BFFF-2F7A-C20C-0C00B4212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388620</xdr:colOff>
      <xdr:row>0</xdr:row>
      <xdr:rowOff>121920</xdr:rowOff>
    </xdr:from>
    <xdr:to>
      <xdr:col>9</xdr:col>
      <xdr:colOff>190500</xdr:colOff>
      <xdr:row>20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AF6421-9190-2AF9-F10A-0D2A65451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6</xdr:row>
      <xdr:rowOff>41910</xdr:rowOff>
    </xdr:from>
    <xdr:to>
      <xdr:col>11</xdr:col>
      <xdr:colOff>114300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AFE22A-7051-AEBC-3C13-DCA8ED048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586740</xdr:colOff>
      <xdr:row>6</xdr:row>
      <xdr:rowOff>80010</xdr:rowOff>
    </xdr:from>
    <xdr:to>
      <xdr:col>18</xdr:col>
      <xdr:colOff>601980</xdr:colOff>
      <xdr:row>21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7DB29F-5DAB-3649-C7AF-42159D510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175260</xdr:colOff>
      <xdr:row>6</xdr:row>
      <xdr:rowOff>41910</xdr:rowOff>
    </xdr:from>
    <xdr:to>
      <xdr:col>26</xdr:col>
      <xdr:colOff>129540</xdr:colOff>
      <xdr:row>21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AB486B-1E4A-3C07-82A0-00B61B372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30480</xdr:colOff>
      <xdr:row>29</xdr:row>
      <xdr:rowOff>64770</xdr:rowOff>
    </xdr:from>
    <xdr:to>
      <xdr:col>15</xdr:col>
      <xdr:colOff>45720</xdr:colOff>
      <xdr:row>44</xdr:row>
      <xdr:rowOff>64770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5971BF-DBDC-6BFC-8D41-8018E4F29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3</xdr:row>
      <xdr:rowOff>64770</xdr:rowOff>
    </xdr:from>
    <xdr:to>
      <xdr:col>22</xdr:col>
      <xdr:colOff>198120</xdr:colOff>
      <xdr:row>18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F63C96-0806-35EF-5572-BFF95E828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53340</xdr:colOff>
      <xdr:row>28</xdr:row>
      <xdr:rowOff>53340</xdr:rowOff>
    </xdr:from>
    <xdr:to>
      <xdr:col>33</xdr:col>
      <xdr:colOff>60960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2D0CA4-0D65-1286-727C-3625DD18F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99060</xdr:colOff>
      <xdr:row>12</xdr:row>
      <xdr:rowOff>87630</xdr:rowOff>
    </xdr:from>
    <xdr:to>
      <xdr:col>33</xdr:col>
      <xdr:colOff>76200</xdr:colOff>
      <xdr:row>27</xdr:row>
      <xdr:rowOff>87630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63E1F9-F0E7-B7DD-6A38-8D284F0DF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5</xdr:row>
      <xdr:rowOff>26670</xdr:rowOff>
    </xdr:from>
    <xdr:to>
      <xdr:col>12</xdr:col>
      <xdr:colOff>45720</xdr:colOff>
      <xdr:row>20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7D34A6-2E80-09CF-AB42-6DCB676B6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 How" refreshedDate="46111.738809953706" createdVersion="8" refreshedVersion="8" minRefreshableVersion="3" recordCount="40" xr:uid="{AD2916AF-84B6-4525-A51B-DD864D5E120F}">
  <cacheSource type="worksheet">
    <worksheetSource ref="K1:Q41" sheet="sellers reviews"/>
  </cacheSource>
  <cacheFields count="7">
    <cacheField name="seller_id" numFmtId="0">
      <sharedItems/>
    </cacheField>
    <cacheField name="seller_city" numFmtId="0">
      <sharedItems/>
    </cacheField>
    <cacheField name="seller_state" numFmtId="0">
      <sharedItems count="7">
        <s v="SP"/>
        <s v="MG"/>
        <s v="RN"/>
        <s v="PR"/>
        <s v="RS"/>
        <s v="SC"/>
        <s v="MS"/>
      </sharedItems>
    </cacheField>
    <cacheField name="avg_score" numFmtId="0">
      <sharedItems containsSemiMixedTypes="0" containsString="0" containsNumber="1" minValue="2.1" maxValue="5"/>
    </cacheField>
    <cacheField name="total_reviews" numFmtId="0">
      <sharedItems containsSemiMixedTypes="0" containsString="0" containsNumber="1" containsInteger="1" minValue="20" maxValue="209"/>
    </cacheField>
    <cacheField name="outstanding_how" numFmtId="0">
      <sharedItems count="2">
        <s v="bad"/>
        <s v="good"/>
      </sharedItems>
    </cacheField>
    <cacheField name="count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 How" refreshedDate="46112.449066898145" createdVersion="8" refreshedVersion="8" minRefreshableVersion="3" recordCount="887" xr:uid="{74FEB409-FD1C-47C1-B989-050BE96EA256}">
  <cacheSource type="worksheet">
    <worksheetSource ref="A1:I888" sheet="sellers reviews"/>
  </cacheSource>
  <cacheFields count="12">
    <cacheField name="seller_id" numFmtId="0">
      <sharedItems/>
    </cacheField>
    <cacheField name="seller_city" numFmtId="0">
      <sharedItems/>
    </cacheField>
    <cacheField name="seller_state" numFmtId="0">
      <sharedItems count="16">
        <s v="ES"/>
        <s v="SP"/>
        <s v="PR"/>
        <s v="SC"/>
        <s v="MG"/>
        <s v="RJ"/>
        <s v="RS"/>
        <s v="MA"/>
        <s v="MT"/>
        <s v="GO"/>
        <s v="DF"/>
        <s v="RN"/>
        <s v="BA"/>
        <s v="CE"/>
        <s v="MS"/>
        <s v="PE"/>
      </sharedItems>
    </cacheField>
    <cacheField name="avg_score" numFmtId="0">
      <sharedItems containsSemiMixedTypes="0" containsString="0" containsNumber="1" minValue="2.1" maxValue="5"/>
    </cacheField>
    <cacheField name="total_reviews" numFmtId="0">
      <sharedItems containsSemiMixedTypes="0" containsString="0" containsNumber="1" containsInteger="1" minValue="20" maxValue="2020" count="241">
        <n v="236"/>
        <n v="56"/>
        <n v="173"/>
        <n v="26"/>
        <n v="172"/>
        <n v="141"/>
        <n v="39"/>
        <n v="66"/>
        <n v="130"/>
        <n v="248"/>
        <n v="24"/>
        <n v="30"/>
        <n v="43"/>
        <n v="94"/>
        <n v="90"/>
        <n v="50"/>
        <n v="28"/>
        <n v="96"/>
        <n v="22"/>
        <n v="65"/>
        <n v="64"/>
        <n v="63"/>
        <n v="60"/>
        <n v="72"/>
        <n v="73"/>
        <n v="54"/>
        <n v="399"/>
        <n v="93"/>
        <n v="38"/>
        <n v="40"/>
        <n v="82"/>
        <n v="23"/>
        <n v="97"/>
        <n v="21"/>
        <n v="27"/>
        <n v="20"/>
        <n v="142"/>
        <n v="77"/>
        <n v="215"/>
        <n v="146"/>
        <n v="31"/>
        <n v="180"/>
        <n v="59"/>
        <n v="74"/>
        <n v="220"/>
        <n v="41"/>
        <n v="25"/>
        <n v="52"/>
        <n v="136"/>
        <n v="192"/>
        <n v="89"/>
        <n v="273"/>
        <n v="32"/>
        <n v="42"/>
        <n v="55"/>
        <n v="35"/>
        <n v="1431"/>
        <n v="133"/>
        <n v="47"/>
        <n v="103"/>
        <n v="554"/>
        <n v="135"/>
        <n v="85"/>
        <n v="58"/>
        <n v="270"/>
        <n v="407"/>
        <n v="148"/>
        <n v="266"/>
        <n v="61"/>
        <n v="67"/>
        <n v="147"/>
        <n v="34"/>
        <n v="524"/>
        <n v="117"/>
        <n v="33"/>
        <n v="219"/>
        <n v="178"/>
        <n v="37"/>
        <n v="44"/>
        <n v="48"/>
        <n v="328"/>
        <n v="138"/>
        <n v="75"/>
        <n v="29"/>
        <n v="1932"/>
        <n v="78"/>
        <n v="51"/>
        <n v="429"/>
        <n v="427"/>
        <n v="79"/>
        <n v="46"/>
        <n v="53"/>
        <n v="36"/>
        <n v="164"/>
        <n v="165"/>
        <n v="49"/>
        <n v="110"/>
        <n v="126"/>
        <n v="83"/>
        <n v="167"/>
        <n v="171"/>
        <n v="45"/>
        <n v="137"/>
        <n v="209"/>
        <n v="88"/>
        <n v="62"/>
        <n v="163"/>
        <n v="238"/>
        <n v="282"/>
        <n v="622"/>
        <n v="123"/>
        <n v="100"/>
        <n v="161"/>
        <n v="1136"/>
        <n v="99"/>
        <n v="101"/>
        <n v="125"/>
        <n v="57"/>
        <n v="111"/>
        <n v="152"/>
        <n v="535"/>
        <n v="91"/>
        <n v="151"/>
        <n v="1148"/>
        <n v="1984"/>
        <n v="222"/>
        <n v="343"/>
        <n v="396"/>
        <n v="449"/>
        <n v="76"/>
        <n v="84"/>
        <n v="176"/>
        <n v="104"/>
        <n v="408"/>
        <n v="109"/>
        <n v="174"/>
        <n v="523"/>
        <n v="81"/>
        <n v="204"/>
        <n v="268"/>
        <n v="189"/>
        <n v="71"/>
        <n v="132"/>
        <n v="128"/>
        <n v="155"/>
        <n v="95"/>
        <n v="342"/>
        <n v="122"/>
        <n v="790"/>
        <n v="325"/>
        <n v="68"/>
        <n v="2020"/>
        <n v="187"/>
        <n v="87"/>
        <n v="116"/>
        <n v="127"/>
        <n v="157"/>
        <n v="225"/>
        <n v="80"/>
        <n v="326"/>
        <n v="98"/>
        <n v="113"/>
        <n v="332"/>
        <n v="217"/>
        <n v="361"/>
        <n v="114"/>
        <n v="158"/>
        <n v="70"/>
        <n v="144"/>
        <n v="390"/>
        <n v="145"/>
        <n v="1166"/>
        <n v="181"/>
        <n v="1367"/>
        <n v="574"/>
        <n v="185"/>
        <n v="341"/>
        <n v="339"/>
        <n v="198"/>
        <n v="108"/>
        <n v="188"/>
        <n v="324"/>
        <n v="442"/>
        <n v="522"/>
        <n v="105"/>
        <n v="211"/>
        <n v="310"/>
        <n v="430"/>
        <n v="1014"/>
        <n v="229"/>
        <n v="362"/>
        <n v="1489"/>
        <n v="193"/>
        <n v="208"/>
        <n v="767"/>
        <n v="260"/>
        <n v="106"/>
        <n v="112"/>
        <n v="131"/>
        <n v="92"/>
        <n v="102"/>
        <n v="69"/>
        <n v="119"/>
        <n v="360"/>
        <n v="201"/>
        <n v="259"/>
        <n v="313"/>
        <n v="335"/>
        <n v="371"/>
        <n v="140"/>
        <n v="210"/>
        <n v="1811"/>
        <n v="831"/>
        <n v="191"/>
        <n v="207"/>
        <n v="247"/>
        <n v="649"/>
        <n v="561"/>
        <n v="107"/>
        <n v="183"/>
        <n v="1568"/>
        <n v="118"/>
        <n v="258"/>
        <n v="377"/>
        <n v="86"/>
        <n v="221"/>
        <n v="254"/>
        <n v="747"/>
        <n v="269"/>
        <n v="1197"/>
        <n v="175"/>
        <n v="337"/>
        <n v="200"/>
        <n v="240"/>
        <n v="115"/>
        <n v="232"/>
        <n v="722"/>
        <n v="582"/>
        <n v="120"/>
        <n v="302"/>
        <n v="129"/>
      </sharedItems>
    </cacheField>
    <cacheField name="count_positive" numFmtId="0">
      <sharedItems containsSemiMixedTypes="0" containsString="0" containsNumber="1" containsInteger="1" minValue="4" maxValue="1441"/>
    </cacheField>
    <cacheField name="count_neutral" numFmtId="0">
      <sharedItems containsSemiMixedTypes="0" containsString="0" containsNumber="1" containsInteger="1" minValue="0" maxValue="258"/>
    </cacheField>
    <cacheField name="count_negative" numFmtId="0">
      <sharedItems containsSemiMixedTypes="0" containsString="0" containsNumber="1" containsInteger="1" minValue="0" maxValue="402"/>
    </cacheField>
    <cacheField name="count" numFmtId="0">
      <sharedItems containsSemiMixedTypes="0" containsString="0" containsNumber="1" containsInteger="1" minValue="1" maxValue="1"/>
    </cacheField>
    <cacheField name="pct_positive" numFmtId="0" formula="count_positive/total_reviews" databaseField="0"/>
    <cacheField name="pct_neutral" numFmtId="0" formula="count_neutral/total_reviews" databaseField="0"/>
    <cacheField name="pct_negative" numFmtId="0" formula="count_negative/total_reviews" databaseField="0"/>
  </cacheFields>
  <extLst>
    <ext xmlns:x14="http://schemas.microsoft.com/office/spreadsheetml/2009/9/main" uri="{725AE2AE-9491-48be-B2B4-4EB974FC3084}">
      <x14:pivotCacheDefinition pivotCacheId="1181458819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 How" refreshedDate="46113.3973630787" backgroundQuery="1" createdVersion="8" refreshedVersion="8" minRefreshableVersion="3" recordCount="0" supportSubquery="1" supportAdvancedDrill="1" xr:uid="{D55C97D9-3B00-483C-AE14-081DC38BF719}">
  <cacheSource type="external" connectionId="1"/>
  <cacheFields count="2">
    <cacheField name="[Measures].[Sum of total_reviews]" caption="Sum of total_reviews" numFmtId="0" hierarchy="11" level="32767"/>
    <cacheField name="[Range].[seller_state].[seller_state]" caption="seller_state" numFmtId="0" hierarchy="2" level="1">
      <sharedItems count="6">
        <s v="MG"/>
        <s v="PR"/>
        <s v="RJ"/>
        <s v="RS"/>
        <s v="SC"/>
        <s v="SP"/>
      </sharedItems>
    </cacheField>
  </cacheFields>
  <cacheHierarchies count="12">
    <cacheHierarchy uniqueName="[Range].[seller_id]" caption="seller_id" attribute="1" defaultMemberUniqueName="[Range].[seller_id].[All]" allUniqueName="[Range].[seller_id].[All]" dimensionUniqueName="[Range]" displayFolder="" count="0" memberValueDatatype="130" unbalanced="0"/>
    <cacheHierarchy uniqueName="[Range].[seller_city]" caption="seller_city" attribute="1" defaultMemberUniqueName="[Range].[seller_city].[All]" allUniqueName="[Range].[seller_city].[All]" dimensionUniqueName="[Range]" displayFolder="" count="0" memberValueDatatype="130" unbalanced="0"/>
    <cacheHierarchy uniqueName="[Range].[seller_state]" caption="seller_state" attribute="1" defaultMemberUniqueName="[Range].[seller_state].[All]" allUniqueName="[Range].[seller_stat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avg_score]" caption="avg_score" attribute="1" defaultMemberUniqueName="[Range].[avg_score].[All]" allUniqueName="[Range].[avg_score].[All]" dimensionUniqueName="[Range]" displayFolder="" count="0" memberValueDatatype="5" unbalanced="0"/>
    <cacheHierarchy uniqueName="[Range].[total_reviews]" caption="total_reviews" attribute="1" defaultMemberUniqueName="[Range].[total_reviews].[All]" allUniqueName="[Range].[total_reviews].[All]" dimensionUniqueName="[Range]" displayFolder="" count="0" memberValueDatatype="20" unbalanced="0"/>
    <cacheHierarchy uniqueName="[Range].[count_positive]" caption="count_positive" attribute="1" defaultMemberUniqueName="[Range].[count_positive].[All]" allUniqueName="[Range].[count_positive].[All]" dimensionUniqueName="[Range]" displayFolder="" count="0" memberValueDatatype="20" unbalanced="0"/>
    <cacheHierarchy uniqueName="[Range].[count_neutral]" caption="count_neutral" attribute="1" defaultMemberUniqueName="[Range].[count_neutral].[All]" allUniqueName="[Range].[count_neutral].[All]" dimensionUniqueName="[Range]" displayFolder="" count="0" memberValueDatatype="20" unbalanced="0"/>
    <cacheHierarchy uniqueName="[Range].[count_negative]" caption="count_negative" attribute="1" defaultMemberUniqueName="[Range].[count_negative].[All]" allUniqueName="[Range].[count_negative].[All]" dimensionUniqueName="[Range]" displayFolder="" count="0" memberValueDatatype="20" unbalanced="0"/>
    <cacheHierarchy uniqueName="[Range].[count]" caption="count" attribute="1" defaultMemberUniqueName="[Range].[count].[All]" allUniqueName="[Range].[count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reviews]" caption="Sum of total_review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 How" refreshedDate="46121.744440277776" createdVersion="8" refreshedVersion="8" minRefreshableVersion="3" recordCount="874" xr:uid="{F4C52687-4E7B-4FA7-B3D6-BBED48478921}">
  <cacheSource type="worksheet">
    <worksheetSource ref="A1:H875" sheet="product categories"/>
  </cacheSource>
  <cacheFields count="8">
    <cacheField name="category" numFmtId="0">
      <sharedItems containsBlank="1" count="74">
        <s v="agro_industria_e_comercio"/>
        <s v="alimentos"/>
        <s v="alimentos_bebidas"/>
        <s v="artes"/>
        <s v="artes_e_artesanato"/>
        <s v="artigos_de_festas"/>
        <s v="artigos_de_natal"/>
        <s v="audio"/>
        <s v="automotivo"/>
        <s v="bebes"/>
        <s v="bebidas"/>
        <s v="beleza_saude"/>
        <s v="brinquedos"/>
        <s v="cama_mesa_banho"/>
        <s v="casa_conforto"/>
        <s v="casa_conforto_2"/>
        <s v="casa_construcao"/>
        <s v="cds_dvds_musicais"/>
        <s v="cine_foto"/>
        <s v="climatizacao"/>
        <s v="consoles_games"/>
        <s v="construcao_ferramentas_construcao"/>
        <s v="construcao_ferramentas_ferramentas"/>
        <s v="construcao_ferramentas_iluminacao"/>
        <s v="construcao_ferramentas_jardim"/>
        <s v="construcao_ferramentas_seguranca"/>
        <s v="cool_stuff"/>
        <s v="dvds_blu_ray"/>
        <s v="eletrodomesticos"/>
        <s v="eletrodomesticos_2"/>
        <s v="eletronicos"/>
        <s v="eletroportateis"/>
        <s v="esporte_lazer"/>
        <s v="fashion_bolsas_e_acessorios"/>
        <s v="fashion_calcados"/>
        <s v="fashion_esporte"/>
        <s v="fashion_roupa_feminina"/>
        <s v="fashion_roupa_infanto_juvenil"/>
        <s v="fashion_roupa_masculina"/>
        <s v="fashion_underwear_e_moda_praia"/>
        <s v="ferramentas_jardim"/>
        <s v="flores"/>
        <s v="fraldas_higiene"/>
        <s v="industria_comercio_e_negocios"/>
        <s v="informatica_acessorios"/>
        <s v="instrumentos_musicais"/>
        <s v="la_cuisine"/>
        <s v="livros_importados"/>
        <s v="livros_interesse_geral"/>
        <s v="livros_tecnicos"/>
        <s v="malas_acessorios"/>
        <s v="market_place"/>
        <s v="moveis_colchao_e_estofado"/>
        <s v="moveis_cozinha_area_de_servico_jantar_e_jardim"/>
        <s v="moveis_decoracao"/>
        <s v="moveis_escritorio"/>
        <s v="moveis_quarto"/>
        <s v="moveis_sala"/>
        <s v="musica"/>
        <s v="papelaria"/>
        <s v="pc_gamer"/>
        <s v="pcs"/>
        <s v="perfumaria"/>
        <s v="pet_shop"/>
        <s v="portateis_casa_forno_e_cafe"/>
        <s v="portateis_cozinha_e_preparadores_de_alimentos"/>
        <s v="relogios_presentes"/>
        <s v="seguros_e_servicos"/>
        <s v="sinalizacao_e_seguranca"/>
        <s v="tablets_impressao_imagem"/>
        <s v="telefonia"/>
        <s v="telefonia_fixa"/>
        <s v="utilidades_domesticas"/>
        <m/>
      </sharedItems>
    </cacheField>
    <cacheField name="state" numFmtId="0">
      <sharedItems count="14">
        <s v="PE"/>
        <s v="GO"/>
        <s v="MG"/>
        <s v="PR"/>
        <s v="PA"/>
        <s v="SP"/>
        <s v="RJ"/>
        <s v="BA"/>
        <s v="RS"/>
        <s v="MT"/>
        <s v="SC"/>
        <s v="CE"/>
        <s v="ES"/>
        <s v="DF"/>
      </sharedItems>
    </cacheField>
    <cacheField name="revenue_by_state_and_category" numFmtId="0">
      <sharedItems containsSemiMixedTypes="0" containsString="0" containsNumber="1" minValue="12.9" maxValue="479686.16999999201"/>
    </cacheField>
    <cacheField name="total_state_revenue" numFmtId="0">
      <sharedItems containsSemiMixedTypes="0" containsString="0" containsNumber="1" minValue="155690.51" maxValue="5195744.47999998"/>
    </cacheField>
    <cacheField name="pct_of_state_revenue" numFmtId="0">
      <sharedItems containsSemiMixedTypes="0" containsString="0" containsNumber="1" minValue="0" maxValue="15.86"/>
    </cacheField>
    <cacheField name="sales_in_state" numFmtId="0">
      <sharedItems containsSemiMixedTypes="0" containsString="0" containsNumber="1" containsInteger="1" minValue="1" maxValue="5260"/>
    </cacheField>
    <cacheField name="total_state_sales" numFmtId="0">
      <sharedItems containsSemiMixedTypes="0" containsString="0" containsNumber="1" containsInteger="1" minValue="1047" maxValue="47399"/>
    </cacheField>
    <cacheField name="pct_of_state_sales" numFmtId="0">
      <sharedItems containsSemiMixedTypes="0" containsString="0" containsNumber="1" minValue="0.01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07bf9669d84d1f11be443a9dd938f698"/>
    <s v="sao paulo"/>
    <x v="0"/>
    <n v="3.25"/>
    <n v="24"/>
    <x v="0"/>
    <n v="1"/>
  </r>
  <r>
    <s v="099095b050cfe8eb1ddff5317587e96e"/>
    <s v="sao paulo"/>
    <x v="0"/>
    <n v="2.95"/>
    <n v="20"/>
    <x v="0"/>
    <n v="1"/>
  </r>
  <r>
    <s v="1ca7077d890b907f89be8c954a02686a"/>
    <s v="santana de parnaiba"/>
    <x v="0"/>
    <n v="2.1985294117646998"/>
    <n v="136"/>
    <x v="0"/>
    <n v="1"/>
  </r>
  <r>
    <s v="1dfe5347016252a7884b694d4f10f5c4"/>
    <s v="ibitinga"/>
    <x v="0"/>
    <n v="3.1923076923076898"/>
    <n v="26"/>
    <x v="0"/>
    <n v="1"/>
  </r>
  <r>
    <s v="2709af9587499e95e803a6498a5a56e9"/>
    <s v="sao paulo"/>
    <x v="0"/>
    <n v="2.5652173913043401"/>
    <n v="46"/>
    <x v="0"/>
    <n v="1"/>
  </r>
  <r>
    <s v="2a1348e9addc1af5aaa619b1a3679d6b"/>
    <s v="belo horizonte"/>
    <x v="1"/>
    <n v="3"/>
    <n v="54"/>
    <x v="0"/>
    <n v="1"/>
  </r>
  <r>
    <s v="2eb70248d66e0e3ef83659f71b244378"/>
    <s v="campinas"/>
    <x v="0"/>
    <n v="2.7129186602870798"/>
    <n v="209"/>
    <x v="0"/>
    <n v="1"/>
  </r>
  <r>
    <s v="30a81d8cf85fb2ada1b1b094c9583a95"/>
    <s v="sao paulo"/>
    <x v="0"/>
    <n v="4.8499999999999996"/>
    <n v="20"/>
    <x v="1"/>
    <n v="1"/>
  </r>
  <r>
    <s v="334cab711dee080b079fa5779b584783"/>
    <s v="santo andre"/>
    <x v="0"/>
    <n v="4.9615384615384599"/>
    <n v="26"/>
    <x v="1"/>
    <n v="1"/>
  </r>
  <r>
    <s v="41c2bad7229b0c25e6becf179ebf63ff"/>
    <s v="natal"/>
    <x v="2"/>
    <n v="4.9565217391304301"/>
    <n v="23"/>
    <x v="1"/>
    <n v="1"/>
  </r>
  <r>
    <s v="48efc9d94a9834137efd9ea76b065a38"/>
    <s v="curitiba"/>
    <x v="3"/>
    <n v="5"/>
    <n v="34"/>
    <x v="1"/>
    <n v="1"/>
  </r>
  <r>
    <s v="4c8b8048e33af2bf94f2eb547746a916"/>
    <s v="ibitinga"/>
    <x v="0"/>
    <n v="3.1111111111111098"/>
    <n v="27"/>
    <x v="0"/>
    <n v="1"/>
  </r>
  <r>
    <s v="5058e8c1e82653974541e83690655b4a"/>
    <s v="itaquaquecetuba"/>
    <x v="0"/>
    <n v="3.07894736842105"/>
    <n v="76"/>
    <x v="0"/>
    <n v="1"/>
  </r>
  <r>
    <s v="54965bbe3e4f07ae045b90b0b8541f52"/>
    <s v="foz do iguacu"/>
    <x v="3"/>
    <n v="2.93827160493827"/>
    <n v="81"/>
    <x v="0"/>
    <n v="1"/>
  </r>
  <r>
    <s v="5bc55dbe2f12b6af6d83ed46023e0dc8"/>
    <s v="coronel fabriciano"/>
    <x v="1"/>
    <n v="2.3333333333333299"/>
    <n v="21"/>
    <x v="0"/>
    <n v="1"/>
  </r>
  <r>
    <s v="602044f2c16190c2c6e45eb35c2e21cb"/>
    <s v="ibitinga"/>
    <x v="0"/>
    <n v="2.9322033898305002"/>
    <n v="59"/>
    <x v="0"/>
    <n v="1"/>
  </r>
  <r>
    <s v="66fd84ee7528c0c0de85d0f44a73d5ab"/>
    <s v="campina das missoes"/>
    <x v="4"/>
    <n v="2.9047619047619002"/>
    <n v="21"/>
    <x v="0"/>
    <n v="1"/>
  </r>
  <r>
    <s v="8444e55c1f13cd5c179851e5ca5ebd00"/>
    <s v="congonhal"/>
    <x v="1"/>
    <n v="3.07339449541284"/>
    <n v="109"/>
    <x v="0"/>
    <n v="1"/>
  </r>
  <r>
    <s v="8e6d7754bc7e0f22c96d255ebda59eba"/>
    <s v="sao jose dos campos"/>
    <x v="0"/>
    <n v="3.0150375939849599"/>
    <n v="133"/>
    <x v="0"/>
    <n v="1"/>
  </r>
  <r>
    <s v="95f83f51203c626648c875dd41874c7f"/>
    <s v="borda da mata"/>
    <x v="1"/>
    <n v="3.1764705882352899"/>
    <n v="68"/>
    <x v="0"/>
    <n v="1"/>
  </r>
  <r>
    <s v="972d0f9cf61b499a4812cf0bfa3ad3c4"/>
    <s v="brusque"/>
    <x v="5"/>
    <n v="2.96428571428571"/>
    <n v="84"/>
    <x v="0"/>
    <n v="1"/>
  </r>
  <r>
    <s v="973f21788dfab357250f69a8dcb7ddee"/>
    <s v="claudio"/>
    <x v="1"/>
    <n v="2.3333333333333299"/>
    <n v="21"/>
    <x v="0"/>
    <n v="1"/>
  </r>
  <r>
    <s v="a49928bcdf77c55c6d6e05e09a9b4ca5"/>
    <s v="sao paulo"/>
    <x v="0"/>
    <n v="2.9528301886792399"/>
    <n v="106"/>
    <x v="0"/>
    <n v="1"/>
  </r>
  <r>
    <s v="ad781527c93d00d89a11eecd9dcad7c1"/>
    <s v="sao jose do rio preto"/>
    <x v="0"/>
    <n v="3.0681818181818099"/>
    <n v="44"/>
    <x v="0"/>
    <n v="1"/>
  </r>
  <r>
    <s v="adcf50477d6a1f5d91bb9d54c4903cb5"/>
    <s v="claudio"/>
    <x v="1"/>
    <n v="3.1315789473684199"/>
    <n v="38"/>
    <x v="0"/>
    <n v="1"/>
  </r>
  <r>
    <s v="b19f3ca2ea475913750f25a5c37c8d8f"/>
    <s v="divinopolis"/>
    <x v="1"/>
    <n v="2.7916666666666599"/>
    <n v="24"/>
    <x v="0"/>
    <n v="1"/>
  </r>
  <r>
    <s v="b1fecf4da1fa2689bccffa0121953643"/>
    <s v="campo grande"/>
    <x v="6"/>
    <n v="4.95"/>
    <n v="20"/>
    <x v="1"/>
    <n v="1"/>
  </r>
  <r>
    <s v="b2479f944e1b90cf8a5de1bbfde284d6"/>
    <s v="ibitinga"/>
    <x v="0"/>
    <n v="3.2857142857142798"/>
    <n v="133"/>
    <x v="0"/>
    <n v="1"/>
  </r>
  <r>
    <s v="bb135baca94c82fcb731335ad5b04a03"/>
    <s v="sao paulo"/>
    <x v="0"/>
    <n v="2.6578947368421"/>
    <n v="38"/>
    <x v="0"/>
    <n v="1"/>
  </r>
  <r>
    <s v="bbad7e518d7af88a0897397ffdca1979"/>
    <s v="sao paulo"/>
    <x v="0"/>
    <n v="3.0357142857142798"/>
    <n v="84"/>
    <x v="0"/>
    <n v="1"/>
  </r>
  <r>
    <s v="bc47d5d1490df2b36add65d733eafaba"/>
    <s v="santo andre"/>
    <x v="0"/>
    <n v="3.28"/>
    <n v="25"/>
    <x v="0"/>
    <n v="1"/>
  </r>
  <r>
    <s v="c6381d2d013342748761e906d45aff76"/>
    <s v="portao"/>
    <x v="4"/>
    <n v="3"/>
    <n v="28"/>
    <x v="0"/>
    <n v="1"/>
  </r>
  <r>
    <s v="d71d863e5ef30d94e440c11be17dcd8f"/>
    <s v="osasco"/>
    <x v="0"/>
    <n v="3.24242424242424"/>
    <n v="33"/>
    <x v="0"/>
    <n v="1"/>
  </r>
  <r>
    <s v="dc8798cbf453b7e0f98745e396cc5616"/>
    <s v="sao paulo"/>
    <x v="0"/>
    <n v="3.1346153846153801"/>
    <n v="52"/>
    <x v="0"/>
    <n v="1"/>
  </r>
  <r>
    <s v="e250d617a0ad591ba9bd663e584a895d"/>
    <s v="guarulhos"/>
    <x v="0"/>
    <n v="2.8"/>
    <n v="20"/>
    <x v="0"/>
    <n v="1"/>
  </r>
  <r>
    <s v="e7d5b006eb624f13074497221eb37807"/>
    <s v="santo andre"/>
    <x v="0"/>
    <n v="3.1111111111111098"/>
    <n v="63"/>
    <x v="0"/>
    <n v="1"/>
  </r>
  <r>
    <s v="ec4608a1f76453166bb312b2968aeaf4"/>
    <s v="porto ferreira"/>
    <x v="0"/>
    <n v="2.6857142857142802"/>
    <n v="35"/>
    <x v="0"/>
    <n v="1"/>
  </r>
  <r>
    <s v="f08c008c8a8d31417763738a1788a2a8"/>
    <s v="santa terezinha de itaipu"/>
    <x v="3"/>
    <n v="3.0909090909090899"/>
    <n v="22"/>
    <x v="0"/>
    <n v="1"/>
  </r>
  <r>
    <s v="fcdd820084f17e9982427971e4e9d47f"/>
    <s v="ribeirao preto"/>
    <x v="0"/>
    <n v="3.2592592592592502"/>
    <n v="27"/>
    <x v="0"/>
    <n v="1"/>
  </r>
  <r>
    <s v="ffff564a4f9085cd26170f4732393726"/>
    <s v="campinas"/>
    <x v="0"/>
    <n v="2.1"/>
    <n v="20"/>
    <x v="0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7">
  <r>
    <s v="001cca7ae9ae17fb1caed9dfb1094831"/>
    <s v="cariacica"/>
    <x v="0"/>
    <n v="3.9025423728813502"/>
    <x v="0"/>
    <n v="171"/>
    <n v="20"/>
    <n v="45"/>
    <n v="1"/>
  </r>
  <r>
    <s v="002100f778ceb8431b7a1020ff7ab48f"/>
    <s v="franca"/>
    <x v="1"/>
    <n v="3.9821428571428501"/>
    <x v="1"/>
    <n v="39"/>
    <n v="9"/>
    <n v="8"/>
    <n v="1"/>
  </r>
  <r>
    <s v="004c9cd9d87a3c30c522c48c4fc07416"/>
    <s v="ibitinga"/>
    <x v="1"/>
    <n v="4.1329479768786097"/>
    <x v="2"/>
    <n v="130"/>
    <n v="19"/>
    <n v="24"/>
    <n v="1"/>
  </r>
  <r>
    <s v="00720abe85ba0859807595bbf045a33b"/>
    <s v="guarulhos"/>
    <x v="1"/>
    <n v="3.6538461538461502"/>
    <x v="3"/>
    <n v="15"/>
    <n v="7"/>
    <n v="4"/>
    <n v="1"/>
  </r>
  <r>
    <s v="00ee68308b45bc5e2660cd833c3f81cc"/>
    <s v="sao paulo"/>
    <x v="1"/>
    <n v="4.3313953488371997"/>
    <x v="4"/>
    <n v="145"/>
    <n v="10"/>
    <n v="17"/>
    <n v="1"/>
  </r>
  <r>
    <s v="00fc707aaaad2d31347cf883cd2dfe10"/>
    <s v="maringa"/>
    <x v="2"/>
    <n v="3.7375886524822599"/>
    <x v="5"/>
    <n v="94"/>
    <n v="11"/>
    <n v="36"/>
    <n v="1"/>
  </r>
  <r>
    <s v="013900e863eace745d3ec7614cab5b1a"/>
    <s v="curitiba"/>
    <x v="2"/>
    <n v="4.7307692307692299"/>
    <x v="3"/>
    <n v="24"/>
    <n v="1"/>
    <n v="1"/>
    <n v="1"/>
  </r>
  <r>
    <s v="0176f73cc1195f367f7b32db1e5b3aa8"/>
    <s v="ibitinga"/>
    <x v="1"/>
    <n v="4.0256410256410202"/>
    <x v="6"/>
    <n v="28"/>
    <n v="4"/>
    <n v="7"/>
    <n v="1"/>
  </r>
  <r>
    <s v="01cf7e3d21494c41fb86034f2e714fa1"/>
    <s v="francisco beltrao"/>
    <x v="2"/>
    <n v="4.2121212121212102"/>
    <x v="7"/>
    <n v="54"/>
    <n v="5"/>
    <n v="7"/>
    <n v="1"/>
  </r>
  <r>
    <s v="01fd077212124329bac32490e8ef80d9"/>
    <s v="ribeirao preto / sao paulo"/>
    <x v="1"/>
    <n v="4.3076923076923004"/>
    <x v="6"/>
    <n v="33"/>
    <n v="1"/>
    <n v="5"/>
    <n v="1"/>
  </r>
  <r>
    <s v="01fdefa7697d26ad920e9e0346d4bd1b"/>
    <s v="londrina"/>
    <x v="2"/>
    <n v="4.3461538461538396"/>
    <x v="8"/>
    <n v="109"/>
    <n v="13"/>
    <n v="8"/>
    <n v="1"/>
  </r>
  <r>
    <s v="0241d4d5d36f10f80c644447315af0bd"/>
    <s v="curitiba"/>
    <x v="2"/>
    <n v="4.2782258064516103"/>
    <x v="9"/>
    <n v="205"/>
    <n v="12"/>
    <n v="31"/>
    <n v="1"/>
  </r>
  <r>
    <s v="02ecc2a19303f05e59ce133fd923fff7"/>
    <s v="santo andre"/>
    <x v="1"/>
    <n v="4.5416666666666599"/>
    <x v="10"/>
    <n v="20"/>
    <n v="2"/>
    <n v="2"/>
    <n v="1"/>
  </r>
  <r>
    <s v="02f5837340d7eb4f653d676c7256523a"/>
    <s v="curitiba"/>
    <x v="2"/>
    <n v="4.8333333333333304"/>
    <x v="11"/>
    <n v="29"/>
    <n v="0"/>
    <n v="1"/>
    <n v="1"/>
  </r>
  <r>
    <s v="02f623a8eb246f3c5f7c2f96462654e6"/>
    <s v="botucatu"/>
    <x v="1"/>
    <n v="4.5581395348837201"/>
    <x v="12"/>
    <n v="39"/>
    <n v="2"/>
    <n v="2"/>
    <n v="1"/>
  </r>
  <r>
    <s v="04308b1ee57b6625f47df1d56f00eedf"/>
    <s v="bombinhas"/>
    <x v="3"/>
    <n v="3.8829787234042499"/>
    <x v="13"/>
    <n v="68"/>
    <n v="6"/>
    <n v="20"/>
    <n v="1"/>
  </r>
  <r>
    <s v="0432ead42b6c8a0bdf68154add917fdf"/>
    <s v="maua"/>
    <x v="1"/>
    <n v="4.4777777777777699"/>
    <x v="14"/>
    <n v="80"/>
    <n v="2"/>
    <n v="8"/>
    <n v="1"/>
  </r>
  <r>
    <s v="048c2757535328e0d7dac690ad3c0aae"/>
    <s v="franca"/>
    <x v="1"/>
    <n v="4.18"/>
    <x v="15"/>
    <n v="40"/>
    <n v="2"/>
    <n v="8"/>
    <n v="1"/>
  </r>
  <r>
    <s v="04e38a233f726ef161074ab1c9b0399a"/>
    <s v="sao paulo"/>
    <x v="1"/>
    <n v="3.7857142857142798"/>
    <x v="16"/>
    <n v="20"/>
    <n v="3"/>
    <n v="5"/>
    <n v="1"/>
  </r>
  <r>
    <s v="0509040ea3fe50071181bbc359eb7738"/>
    <s v="belo horizonte"/>
    <x v="4"/>
    <n v="4.5"/>
    <x v="17"/>
    <n v="84"/>
    <n v="11"/>
    <n v="1"/>
    <n v="1"/>
  </r>
  <r>
    <s v="054694fa03fe82cec4b7551487331d74"/>
    <s v="itajobi"/>
    <x v="1"/>
    <n v="3.3636363636363602"/>
    <x v="18"/>
    <n v="12"/>
    <n v="3"/>
    <n v="7"/>
    <n v="1"/>
  </r>
  <r>
    <s v="056b4ada5bbc2c50cc7842547dda6b51"/>
    <s v="queimados"/>
    <x v="5"/>
    <n v="4.12307692307692"/>
    <x v="19"/>
    <n v="54"/>
    <n v="1"/>
    <n v="10"/>
    <n v="1"/>
  </r>
  <r>
    <s v="058fd0aa2bfdb2274e05e1ae971dabb6"/>
    <s v="santo andre"/>
    <x v="1"/>
    <n v="4.3846153846153797"/>
    <x v="19"/>
    <n v="54"/>
    <n v="5"/>
    <n v="6"/>
    <n v="1"/>
  </r>
  <r>
    <s v="05d2173d43ea568aa0540eba70d2ca76"/>
    <s v="alfenas"/>
    <x v="4"/>
    <n v="4"/>
    <x v="20"/>
    <n v="49"/>
    <n v="4"/>
    <n v="11"/>
    <n v="1"/>
  </r>
  <r>
    <s v="05f51e13da97139648b8125c31e5f51b"/>
    <s v="belo horizonte"/>
    <x v="4"/>
    <n v="4.0952380952380896"/>
    <x v="21"/>
    <n v="52"/>
    <n v="0"/>
    <n v="11"/>
    <n v="1"/>
  </r>
  <r>
    <s v="05ff92fedb5be47920fea08e501238b9"/>
    <s v="santo angelo"/>
    <x v="6"/>
    <n v="4.171875"/>
    <x v="20"/>
    <n v="45"/>
    <n v="15"/>
    <n v="4"/>
    <n v="1"/>
  </r>
  <r>
    <s v="062ce95fa2ad4dfaedfc79260130565f"/>
    <s v="lajeado"/>
    <x v="6"/>
    <n v="3.9666666666666601"/>
    <x v="22"/>
    <n v="43"/>
    <n v="9"/>
    <n v="8"/>
    <n v="1"/>
  </r>
  <r>
    <s v="06579cb253ecd5a3a12a9e6eb6bf8f47"/>
    <s v="sao paulo - sp"/>
    <x v="1"/>
    <n v="3.76388888888888"/>
    <x v="23"/>
    <n v="51"/>
    <n v="3"/>
    <n v="18"/>
    <n v="1"/>
  </r>
  <r>
    <s v="066a6914e1ebf3ea95a216c73a986b91"/>
    <s v="foz do iguacu"/>
    <x v="2"/>
    <n v="3.9726027397260202"/>
    <x v="24"/>
    <n v="55"/>
    <n v="7"/>
    <n v="11"/>
    <n v="1"/>
  </r>
  <r>
    <s v="0691148aee60ca47977c187804f935ae"/>
    <s v="londrina"/>
    <x v="2"/>
    <n v="4"/>
    <x v="25"/>
    <n v="41"/>
    <n v="3"/>
    <n v="10"/>
    <n v="1"/>
  </r>
  <r>
    <s v="06a2c3af7b3aee5d69171b0e14f0ee87"/>
    <s v="sao luis"/>
    <x v="7"/>
    <n v="4.0025062656641603"/>
    <x v="26"/>
    <n v="301"/>
    <n v="33"/>
    <n v="65"/>
    <n v="1"/>
  </r>
  <r>
    <s v="06df0c10d34e459d9672bc77388742eb"/>
    <s v="maringa"/>
    <x v="2"/>
    <n v="4.36666666666666"/>
    <x v="11"/>
    <n v="26"/>
    <n v="2"/>
    <n v="2"/>
    <n v="1"/>
  </r>
  <r>
    <s v="06e5eefc71ec47ae763c5c6f8db7064f"/>
    <s v="porto alegre"/>
    <x v="6"/>
    <n v="3.9032258064516099"/>
    <x v="27"/>
    <n v="68"/>
    <n v="10"/>
    <n v="15"/>
    <n v="1"/>
  </r>
  <r>
    <s v="070d165398b553f3b4b851c216b8a358"/>
    <s v="sao paulo"/>
    <x v="1"/>
    <n v="3.5"/>
    <x v="28"/>
    <n v="23"/>
    <n v="3"/>
    <n v="12"/>
    <n v="1"/>
  </r>
  <r>
    <s v="0725b8c0f3f906e58f70cbe76b7c748c"/>
    <s v="guarulhos"/>
    <x v="1"/>
    <n v="3.5750000000000002"/>
    <x v="29"/>
    <n v="23"/>
    <n v="4"/>
    <n v="13"/>
    <n v="1"/>
  </r>
  <r>
    <s v="07bf9669d84d1f11be443a9dd938f698"/>
    <s v="sao paulo"/>
    <x v="1"/>
    <n v="3.25"/>
    <x v="10"/>
    <n v="14"/>
    <n v="0"/>
    <n v="10"/>
    <n v="1"/>
  </r>
  <r>
    <s v="080102cd0a76b09e0dcf55fcacc60e05"/>
    <s v="belo horizonte"/>
    <x v="4"/>
    <n v="4.4923076923076897"/>
    <x v="8"/>
    <n v="112"/>
    <n v="12"/>
    <n v="6"/>
    <n v="1"/>
  </r>
  <r>
    <s v="080199a181c46c657dc5aa235411be3b"/>
    <s v="osasco"/>
    <x v="1"/>
    <n v="4.6097560975609699"/>
    <x v="30"/>
    <n v="78"/>
    <n v="3"/>
    <n v="1"/>
    <n v="1"/>
  </r>
  <r>
    <s v="082e0bf4cb865a6533b1e8e498cc0255"/>
    <s v="botucatu"/>
    <x v="1"/>
    <n v="3.3043478260869499"/>
    <x v="31"/>
    <n v="11"/>
    <n v="5"/>
    <n v="7"/>
    <n v="1"/>
  </r>
  <r>
    <s v="08633c14ef2db992c11f840f04fad4cd"/>
    <s v="ribeirao pires"/>
    <x v="1"/>
    <n v="4.2371134020618504"/>
    <x v="32"/>
    <n v="81"/>
    <n v="5"/>
    <n v="11"/>
    <n v="1"/>
  </r>
  <r>
    <s v="0885aaf116795758dfeb5f1032487bcd"/>
    <s v="ferraz de vasconcelos"/>
    <x v="1"/>
    <n v="4.2"/>
    <x v="11"/>
    <n v="23"/>
    <n v="4"/>
    <n v="3"/>
    <n v="1"/>
  </r>
  <r>
    <s v="08d2d642cf72b622b14dde1d2f5eb2f5"/>
    <s v="marilia"/>
    <x v="1"/>
    <n v="4.4285714285714199"/>
    <x v="33"/>
    <n v="17"/>
    <n v="4"/>
    <n v="0"/>
    <n v="1"/>
  </r>
  <r>
    <s v="093805f8f2aeb63881444571e1f48f30"/>
    <s v="osasco"/>
    <x v="1"/>
    <n v="3.81481481481481"/>
    <x v="34"/>
    <n v="18"/>
    <n v="4"/>
    <n v="5"/>
    <n v="1"/>
  </r>
  <r>
    <s v="099095b050cfe8eb1ddff5317587e96e"/>
    <s v="sao paulo"/>
    <x v="1"/>
    <n v="2.95"/>
    <x v="35"/>
    <n v="9"/>
    <n v="1"/>
    <n v="10"/>
    <n v="1"/>
  </r>
  <r>
    <s v="09f952a5f58d2285b0372551ae8f9b01"/>
    <s v="sao bernardo do campo"/>
    <x v="1"/>
    <n v="3.875"/>
    <x v="1"/>
    <n v="38"/>
    <n v="9"/>
    <n v="9"/>
    <n v="1"/>
  </r>
  <r>
    <s v="0adac9fbd9a2b63cccaac4f8756c1ca8"/>
    <s v="louveira"/>
    <x v="1"/>
    <n v="3.8873239436619702"/>
    <x v="36"/>
    <n v="95"/>
    <n v="27"/>
    <n v="20"/>
    <n v="1"/>
  </r>
  <r>
    <s v="0afccdb8a34ee5c79f7c06faf2b4d56e"/>
    <s v="uberlandia"/>
    <x v="4"/>
    <n v="4.0416666666666599"/>
    <x v="10"/>
    <n v="19"/>
    <n v="2"/>
    <n v="3"/>
    <n v="1"/>
  </r>
  <r>
    <s v="0b35c634521043bf4b47e21547b99ab5"/>
    <s v="teixeira soares"/>
    <x v="2"/>
    <n v="3.4935064935064899"/>
    <x v="37"/>
    <n v="40"/>
    <n v="17"/>
    <n v="20"/>
    <n v="1"/>
  </r>
  <r>
    <s v="0b90b6df587eb83608a64ea8b390cf07"/>
    <s v="maringa"/>
    <x v="2"/>
    <n v="4"/>
    <x v="38"/>
    <n v="156"/>
    <n v="21"/>
    <n v="38"/>
    <n v="1"/>
  </r>
  <r>
    <s v="0bae85eb84b9fb3bd773911e89288d54"/>
    <s v="itajai"/>
    <x v="1"/>
    <n v="4.2054794520547896"/>
    <x v="39"/>
    <n v="114"/>
    <n v="20"/>
    <n v="12"/>
    <n v="1"/>
  </r>
  <r>
    <s v="0bb738e4d789e63e2267697c42d35a2d"/>
    <s v="sao roque"/>
    <x v="1"/>
    <n v="4.5806451612903203"/>
    <x v="40"/>
    <n v="30"/>
    <n v="1"/>
    <n v="0"/>
    <n v="1"/>
  </r>
  <r>
    <s v="0be8ff43f22e456b4e0371b2245e4d01"/>
    <s v="sao paulo"/>
    <x v="1"/>
    <n v="3.8944444444444399"/>
    <x v="41"/>
    <n v="129"/>
    <n v="15"/>
    <n v="36"/>
    <n v="1"/>
  </r>
  <r>
    <s v="0bf0150d5b9d60d9cd2906003332f085"/>
    <s v="sao paulo"/>
    <x v="1"/>
    <n v="3.71186440677966"/>
    <x v="42"/>
    <n v="38"/>
    <n v="7"/>
    <n v="14"/>
    <n v="1"/>
  </r>
  <r>
    <s v="0c7533c71df861ec58ad7ff999ed0e8d"/>
    <s v="valinhos"/>
    <x v="1"/>
    <n v="4.0405405405405403"/>
    <x v="43"/>
    <n v="58"/>
    <n v="3"/>
    <n v="13"/>
    <n v="1"/>
  </r>
  <r>
    <s v="0c8380b62e38e8a1e6adbeba7eb9688c"/>
    <s v="tres coracoes"/>
    <x v="4"/>
    <n v="4.0409090909090901"/>
    <x v="44"/>
    <n v="163"/>
    <n v="24"/>
    <n v="33"/>
    <n v="1"/>
  </r>
  <r>
    <s v="0cbcee27c791afa0cdcb08587a2013a8"/>
    <s v="tres coracoes"/>
    <x v="4"/>
    <n v="3.85365853658536"/>
    <x v="45"/>
    <n v="26"/>
    <n v="8"/>
    <n v="7"/>
    <n v="1"/>
  </r>
  <r>
    <s v="0d33a55da925bbf1ff02af5f6059fc7f"/>
    <s v="sao paulo"/>
    <x v="1"/>
    <n v="4.5199999999999996"/>
    <x v="46"/>
    <n v="22"/>
    <n v="1"/>
    <n v="2"/>
    <n v="1"/>
  </r>
  <r>
    <s v="0d85bbda9889ce1f7e63778d24f346eb"/>
    <s v="uberlandia"/>
    <x v="4"/>
    <n v="4.2115384615384599"/>
    <x v="47"/>
    <n v="44"/>
    <n v="2"/>
    <n v="6"/>
    <n v="1"/>
  </r>
  <r>
    <s v="0db783cfcd3b73998abc6e10e59a102f"/>
    <s v="santos"/>
    <x v="1"/>
    <n v="4.2132352941176396"/>
    <x v="48"/>
    <n v="110"/>
    <n v="9"/>
    <n v="17"/>
    <n v="1"/>
  </r>
  <r>
    <s v="0dd184061fb0eaa7ca37932c68ab91c5"/>
    <s v="guarulhos"/>
    <x v="1"/>
    <n v="3.953125"/>
    <x v="49"/>
    <n v="143"/>
    <n v="20"/>
    <n v="29"/>
    <n v="1"/>
  </r>
  <r>
    <s v="0df3984f9dfb3d49ac6366acbd3bbb85"/>
    <s v="betim"/>
    <x v="4"/>
    <n v="4.30337078651685"/>
    <x v="50"/>
    <n v="79"/>
    <n v="0"/>
    <n v="10"/>
    <n v="1"/>
  </r>
  <r>
    <s v="0ea22c1cfbdc755f86b9b54b39c16043"/>
    <s v="sete lagoas"/>
    <x v="4"/>
    <n v="4.3333333333333304"/>
    <x v="51"/>
    <n v="225"/>
    <n v="26"/>
    <n v="22"/>
    <n v="1"/>
  </r>
  <r>
    <s v="0ebd97a106433a45a4aebe57c1799778"/>
    <s v="contagem"/>
    <x v="4"/>
    <n v="4.5"/>
    <x v="52"/>
    <n v="29"/>
    <n v="1"/>
    <n v="2"/>
    <n v="1"/>
  </r>
  <r>
    <s v="0ed6ce5d87fd9c69eaacaeb778d67235"/>
    <s v="americana"/>
    <x v="1"/>
    <n v="4.4047619047618998"/>
    <x v="53"/>
    <n v="35"/>
    <n v="5"/>
    <n v="2"/>
    <n v="1"/>
  </r>
  <r>
    <s v="0ef83d7d83ed97cd2a0049ac8be5f88a"/>
    <s v="curitiba"/>
    <x v="2"/>
    <n v="4.2545454545454504"/>
    <x v="54"/>
    <n v="45"/>
    <n v="1"/>
    <n v="9"/>
    <n v="1"/>
  </r>
  <r>
    <s v="0ffa40d54288e4f3499b8780dd0f144f"/>
    <s v="presidente prudente"/>
    <x v="1"/>
    <n v="4.4000000000000004"/>
    <x v="55"/>
    <n v="29"/>
    <n v="2"/>
    <n v="4"/>
    <n v="1"/>
  </r>
  <r>
    <s v="10076e5788b8ee532724bcd460baf762"/>
    <s v="batatais"/>
    <x v="1"/>
    <n v="4.6153846153846096"/>
    <x v="3"/>
    <n v="24"/>
    <n v="1"/>
    <n v="1"/>
    <n v="1"/>
  </r>
  <r>
    <s v="1025f0e2d44d7041d6cf58b6550e0bfa"/>
    <s v="sao paulo"/>
    <x v="1"/>
    <n v="3.8497554157931502"/>
    <x v="56"/>
    <n v="1016"/>
    <n v="121"/>
    <n v="294"/>
    <n v="1"/>
  </r>
  <r>
    <s v="1127b7f2594683f2510f1c2c834a486b"/>
    <s v="campinas"/>
    <x v="1"/>
    <n v="4.0977443609022499"/>
    <x v="57"/>
    <n v="103"/>
    <n v="6"/>
    <n v="24"/>
    <n v="1"/>
  </r>
  <r>
    <s v="11305281b50fff20ae8bb473f8e11876"/>
    <s v="uba"/>
    <x v="4"/>
    <n v="4.3499999999999996"/>
    <x v="29"/>
    <n v="34"/>
    <n v="3"/>
    <n v="3"/>
    <n v="1"/>
  </r>
  <r>
    <s v="113e3a788b935f48aad63e1c41dac1bd"/>
    <s v="aparecida"/>
    <x v="1"/>
    <n v="4.4042553191489304"/>
    <x v="58"/>
    <n v="40"/>
    <n v="5"/>
    <n v="2"/>
    <n v="1"/>
  </r>
  <r>
    <s v="116ccb1a1604bc88e4d234a8c23f33de"/>
    <s v="sao bernardo do campo"/>
    <x v="1"/>
    <n v="4.6027397260273899"/>
    <x v="24"/>
    <n v="65"/>
    <n v="5"/>
    <n v="3"/>
    <n v="1"/>
  </r>
  <r>
    <s v="11bfa66332777660bd0640ee84d47006"/>
    <s v="ribeirao preto"/>
    <x v="1"/>
    <n v="3.7766990291262101"/>
    <x v="59"/>
    <n v="72"/>
    <n v="3"/>
    <n v="28"/>
    <n v="1"/>
  </r>
  <r>
    <s v="128639473a139ac0f3e5f5ade55873a5"/>
    <s v="maringa"/>
    <x v="2"/>
    <n v="4.1768953068592003"/>
    <x v="60"/>
    <n v="442"/>
    <n v="48"/>
    <n v="64"/>
    <n v="1"/>
  </r>
  <r>
    <s v="12b9676b00f60f3b700e83af21824c0e"/>
    <s v="montenegro"/>
    <x v="6"/>
    <n v="4.5111111111111102"/>
    <x v="61"/>
    <n v="121"/>
    <n v="7"/>
    <n v="7"/>
    <n v="1"/>
  </r>
  <r>
    <s v="1336efc61c316ddf92c899eb817f7cae"/>
    <s v="assis"/>
    <x v="1"/>
    <n v="3.9411764705882302"/>
    <x v="62"/>
    <n v="61"/>
    <n v="10"/>
    <n v="14"/>
    <n v="1"/>
  </r>
  <r>
    <s v="1354d51653f645349064725ed204e85e"/>
    <s v="sao paulo"/>
    <x v="1"/>
    <n v="3.71428571428571"/>
    <x v="33"/>
    <n v="13"/>
    <n v="3"/>
    <n v="5"/>
    <n v="1"/>
  </r>
  <r>
    <s v="138dbe45fc62f1e244378131a6801526"/>
    <s v="sao paulo"/>
    <x v="1"/>
    <n v="3.9827586206896499"/>
    <x v="63"/>
    <n v="40"/>
    <n v="8"/>
    <n v="10"/>
    <n v="1"/>
  </r>
  <r>
    <s v="13d058e4eeac2ce8217660b2f8a05812"/>
    <s v="osasco"/>
    <x v="1"/>
    <n v="4.2173913043478199"/>
    <x v="31"/>
    <n v="19"/>
    <n v="1"/>
    <n v="3"/>
    <n v="1"/>
  </r>
  <r>
    <s v="1430239a858e7682bbc43b20758af153"/>
    <s v="sao paulo"/>
    <x v="1"/>
    <n v="3.9565217391304301"/>
    <x v="31"/>
    <n v="14"/>
    <n v="6"/>
    <n v="3"/>
    <n v="1"/>
  </r>
  <r>
    <s v="1464afc72f696af775557a821c2e253f"/>
    <s v="nova friburgo"/>
    <x v="5"/>
    <n v="4.1666666666666599"/>
    <x v="11"/>
    <n v="23"/>
    <n v="3"/>
    <n v="4"/>
    <n v="1"/>
  </r>
  <r>
    <s v="14a08204d03bb6b6bde8029f801ae0eb"/>
    <s v="sao paulo"/>
    <x v="1"/>
    <n v="3.8157894736842102"/>
    <x v="28"/>
    <n v="28"/>
    <n v="2"/>
    <n v="8"/>
    <n v="1"/>
  </r>
  <r>
    <s v="14d7985702e72162bbf13b6beb74ab2b"/>
    <s v="santo andre"/>
    <x v="1"/>
    <n v="4.3421052631578902"/>
    <x v="28"/>
    <n v="31"/>
    <n v="4"/>
    <n v="3"/>
    <n v="1"/>
  </r>
  <r>
    <s v="1554a68530182680ad5c8b042c3ab563"/>
    <s v="monte siao"/>
    <x v="4"/>
    <n v="4.2481481481481396"/>
    <x v="64"/>
    <n v="224"/>
    <n v="13"/>
    <n v="33"/>
    <n v="1"/>
  </r>
  <r>
    <s v="157c3e4b42f81ac4a44e8b1ca2fe9876"/>
    <s v="sao paulo"/>
    <x v="1"/>
    <n v="3.9677419354838701"/>
    <x v="40"/>
    <n v="21"/>
    <n v="5"/>
    <n v="5"/>
    <n v="1"/>
  </r>
  <r>
    <s v="15aac934c58d886785ac1b17953ea898"/>
    <s v="muqui"/>
    <x v="0"/>
    <n v="4.1153846153846096"/>
    <x v="3"/>
    <n v="21"/>
    <n v="2"/>
    <n v="3"/>
    <n v="1"/>
  </r>
  <r>
    <s v="16090f2ca825584b5a147ab24aa30c86"/>
    <s v="atibaia"/>
    <x v="1"/>
    <n v="4.0442260442260398"/>
    <x v="65"/>
    <n v="311"/>
    <n v="37"/>
    <n v="59"/>
    <n v="1"/>
  </r>
  <r>
    <s v="165fc07beebdcb6190fba8a06db2a449"/>
    <s v="maringa"/>
    <x v="2"/>
    <n v="3.6875"/>
    <x v="20"/>
    <n v="45"/>
    <n v="2"/>
    <n v="17"/>
    <n v="1"/>
  </r>
  <r>
    <s v="17306570e772e7718c92a562d33f5f1d"/>
    <s v="bariri"/>
    <x v="1"/>
    <n v="3.625"/>
    <x v="52"/>
    <n v="19"/>
    <n v="6"/>
    <n v="7"/>
    <n v="1"/>
  </r>
  <r>
    <s v="1771297ac436903d1dd6b0e9279aa505"/>
    <s v="guarulhos"/>
    <x v="1"/>
    <n v="4.6285714285714201"/>
    <x v="55"/>
    <n v="32"/>
    <n v="3"/>
    <n v="0"/>
    <n v="1"/>
  </r>
  <r>
    <s v="17a053fcb14bd219540cbde0df490be0"/>
    <s v="mogi guacu"/>
    <x v="1"/>
    <n v="4.2094594594594499"/>
    <x v="66"/>
    <n v="120"/>
    <n v="11"/>
    <n v="17"/>
    <n v="1"/>
  </r>
  <r>
    <s v="17ca9b9e9b9ef8fdb529001b49ebb50f"/>
    <s v="betim"/>
    <x v="4"/>
    <n v="4.01538461538461"/>
    <x v="8"/>
    <n v="94"/>
    <n v="16"/>
    <n v="20"/>
    <n v="1"/>
  </r>
  <r>
    <s v="17e34d8224d27a541263c4c64b11a56b"/>
    <s v="riberao preto"/>
    <x v="1"/>
    <n v="4.1390977443608996"/>
    <x v="67"/>
    <n v="214"/>
    <n v="15"/>
    <n v="37"/>
    <n v="1"/>
  </r>
  <r>
    <s v="17f51e7198701186712e53a39c564617"/>
    <s v="sao paulo"/>
    <x v="1"/>
    <n v="4.3442622950819603"/>
    <x v="68"/>
    <n v="50"/>
    <n v="6"/>
    <n v="5"/>
    <n v="1"/>
  </r>
  <r>
    <s v="1835b56ce799e6a4dc4eddc053f04066"/>
    <s v="ibitinga"/>
    <x v="1"/>
    <n v="3.5938628158844699"/>
    <x v="60"/>
    <n v="348"/>
    <n v="63"/>
    <n v="143"/>
    <n v="1"/>
  </r>
  <r>
    <s v="1838dd9b8977065acf51d95e0053ea7a"/>
    <s v="belo horizonte"/>
    <x v="4"/>
    <n v="4.23880597014925"/>
    <x v="69"/>
    <n v="54"/>
    <n v="3"/>
    <n v="10"/>
    <n v="1"/>
  </r>
  <r>
    <s v="18a349e75d307f4b4cc646a691ed4216"/>
    <s v="sao paulo"/>
    <x v="1"/>
    <n v="3.3945578231292499"/>
    <x v="70"/>
    <n v="87"/>
    <n v="11"/>
    <n v="49"/>
    <n v="1"/>
  </r>
  <r>
    <s v="18e694e0e48ed6f7aa3f24aade5fd697"/>
    <s v="varzea paulista"/>
    <x v="1"/>
    <n v="4.6764705882352899"/>
    <x v="71"/>
    <n v="33"/>
    <n v="1"/>
    <n v="0"/>
    <n v="1"/>
  </r>
  <r>
    <s v="1900267e848ceeba8fa32d80c1a5f5a8"/>
    <s v="ibitinga"/>
    <x v="1"/>
    <n v="3.8549618320610599"/>
    <x v="72"/>
    <n v="360"/>
    <n v="61"/>
    <n v="103"/>
    <n v="1"/>
  </r>
  <r>
    <s v="198c7ea11960a9844b544d9bcdca860c"/>
    <s v="jacutinga"/>
    <x v="4"/>
    <n v="3.88"/>
    <x v="46"/>
    <n v="18"/>
    <n v="1"/>
    <n v="6"/>
    <n v="1"/>
  </r>
  <r>
    <s v="1a3df491d1c4f1589fc2b934ada68bf2"/>
    <s v="joinville"/>
    <x v="3"/>
    <n v="4.1611111111111097"/>
    <x v="41"/>
    <n v="139"/>
    <n v="21"/>
    <n v="20"/>
    <n v="1"/>
  </r>
  <r>
    <s v="1a932caad4f9d804097d7f8e615baed1"/>
    <s v="sao paulo"/>
    <x v="1"/>
    <n v="3.5666666666666602"/>
    <x v="11"/>
    <n v="19"/>
    <n v="1"/>
    <n v="10"/>
    <n v="1"/>
  </r>
  <r>
    <s v="1b4c3a6f53068f0b6944d2d005c9fc89"/>
    <s v="sao ludgero"/>
    <x v="3"/>
    <n v="4.1111111111111098"/>
    <x v="73"/>
    <n v="90"/>
    <n v="11"/>
    <n v="16"/>
    <n v="1"/>
  </r>
  <r>
    <s v="1b8356dabde1d35e17cef975c3f82730"/>
    <s v="sao paulo"/>
    <x v="1"/>
    <n v="4.0819672131147504"/>
    <x v="68"/>
    <n v="45"/>
    <n v="9"/>
    <n v="7"/>
    <n v="1"/>
  </r>
  <r>
    <s v="1b938a7ec6ac5061a66a3766e0e75f90"/>
    <s v="penapolis"/>
    <x v="1"/>
    <n v="4.2424242424242404"/>
    <x v="74"/>
    <n v="29"/>
    <n v="0"/>
    <n v="4"/>
    <n v="1"/>
  </r>
  <r>
    <s v="1bb2bdb95f4841f1bba2c0d2cd83d3c9"/>
    <s v="sao paulo"/>
    <x v="1"/>
    <n v="4.5882352941176396"/>
    <x v="62"/>
    <n v="78"/>
    <n v="3"/>
    <n v="4"/>
    <n v="1"/>
  </r>
  <r>
    <s v="1c129092bf23f28a5930387c980c0dfc"/>
    <s v="sao paulo"/>
    <x v="1"/>
    <n v="4.1689497716894897"/>
    <x v="75"/>
    <n v="169"/>
    <n v="22"/>
    <n v="28"/>
    <n v="1"/>
  </r>
  <r>
    <s v="1c40343cc5d18c2d8248ac2f3366de34"/>
    <s v="limeira"/>
    <x v="1"/>
    <n v="4.5454545454545396"/>
    <x v="18"/>
    <n v="18"/>
    <n v="4"/>
    <n v="0"/>
    <n v="1"/>
  </r>
  <r>
    <s v="1c68394e931a64f90ea236c5ea590300"/>
    <s v="sarandi"/>
    <x v="2"/>
    <n v="3.9438202247190999"/>
    <x v="76"/>
    <n v="135"/>
    <n v="16"/>
    <n v="27"/>
    <n v="1"/>
  </r>
  <r>
    <s v="1ca7077d890b907f89be8c954a02686a"/>
    <s v="santana de parnaiba"/>
    <x v="1"/>
    <n v="2.1985294117646998"/>
    <x v="48"/>
    <n v="35"/>
    <n v="12"/>
    <n v="89"/>
    <n v="1"/>
  </r>
  <r>
    <s v="1caf283236cd69af44cbc09a0a1e7d32"/>
    <s v="nova iguacu"/>
    <x v="5"/>
    <n v="4.5405405405405403"/>
    <x v="77"/>
    <n v="34"/>
    <n v="0"/>
    <n v="3"/>
    <n v="1"/>
  </r>
  <r>
    <s v="1ce3ae5a399804d1a87e706f8a813c3e"/>
    <s v="jaguaruna"/>
    <x v="3"/>
    <n v="3.72727272727272"/>
    <x v="78"/>
    <n v="27"/>
    <n v="7"/>
    <n v="10"/>
    <n v="1"/>
  </r>
  <r>
    <s v="1d4587203296c8f4ad134dc286fa6db0"/>
    <s v="sao paulo"/>
    <x v="1"/>
    <n v="4.3023255813953396"/>
    <x v="12"/>
    <n v="37"/>
    <n v="2"/>
    <n v="4"/>
    <n v="1"/>
  </r>
  <r>
    <s v="1d8dbc4f32378d715c717c1c1fc57bae"/>
    <s v="arapongas"/>
    <x v="2"/>
    <n v="3.8958333333333299"/>
    <x v="17"/>
    <n v="65"/>
    <n v="13"/>
    <n v="18"/>
    <n v="1"/>
  </r>
  <r>
    <s v="1da366cade6d8276e7d8beea7af5d4bf"/>
    <s v="uba"/>
    <x v="4"/>
    <n v="3.9375"/>
    <x v="79"/>
    <n v="36"/>
    <n v="3"/>
    <n v="9"/>
    <n v="1"/>
  </r>
  <r>
    <s v="1da3aeb70d7989d1e6d9b0e887f97c23"/>
    <s v="sao paulo"/>
    <x v="1"/>
    <n v="4.07317073170731"/>
    <x v="80"/>
    <n v="252"/>
    <n v="24"/>
    <n v="52"/>
    <n v="1"/>
  </r>
  <r>
    <s v="1dc2de47ee26a0a5b12dc14fd6dc0dea"/>
    <s v="ibitinga"/>
    <x v="1"/>
    <n v="4.5185185185185102"/>
    <x v="34"/>
    <n v="24"/>
    <n v="2"/>
    <n v="1"/>
    <n v="1"/>
  </r>
  <r>
    <s v="1dfe5347016252a7884b694d4f10f5c4"/>
    <s v="ibitinga"/>
    <x v="1"/>
    <n v="3.1923076923076898"/>
    <x v="3"/>
    <n v="14"/>
    <n v="3"/>
    <n v="9"/>
    <n v="1"/>
  </r>
  <r>
    <s v="1e8b33f18b4f7598d87f5cbee2282cc2"/>
    <s v="sao paulo"/>
    <x v="1"/>
    <n v="4.2826086956521703"/>
    <x v="81"/>
    <n v="116"/>
    <n v="2"/>
    <n v="20"/>
    <n v="1"/>
  </r>
  <r>
    <s v="1eade46fba20122dc4aefb379f8c636b"/>
    <s v="sao paulo"/>
    <x v="1"/>
    <n v="4.3066666666666604"/>
    <x v="82"/>
    <n v="63"/>
    <n v="5"/>
    <n v="7"/>
    <n v="1"/>
  </r>
  <r>
    <s v="1f1bb1f0859883505541bdd6606193e5"/>
    <s v="sao paulo"/>
    <x v="1"/>
    <n v="4.3103448275862002"/>
    <x v="83"/>
    <n v="23"/>
    <n v="4"/>
    <n v="2"/>
    <n v="1"/>
  </r>
  <r>
    <s v="1f50f920176fa81dab994f9023523100"/>
    <s v="sao jose do rio preto"/>
    <x v="1"/>
    <n v="3.98240165631469"/>
    <x v="84"/>
    <n v="1435"/>
    <n v="146"/>
    <n v="351"/>
    <n v="1"/>
  </r>
  <r>
    <s v="1f9ab4708f3056ede07124aad39a2554"/>
    <s v="tupa"/>
    <x v="1"/>
    <n v="4.0897435897435797"/>
    <x v="85"/>
    <n v="59"/>
    <n v="13"/>
    <n v="6"/>
    <n v="1"/>
  </r>
  <r>
    <s v="1fe5540d7c1c37a595fefbacd5570d9e"/>
    <s v="paraiba do sul"/>
    <x v="5"/>
    <n v="4.28"/>
    <x v="46"/>
    <n v="21"/>
    <n v="2"/>
    <n v="2"/>
    <n v="1"/>
  </r>
  <r>
    <s v="2089a6d640999f9b9141ac719b2af596"/>
    <s v="sao carlos"/>
    <x v="1"/>
    <n v="3.72727272727272"/>
    <x v="78"/>
    <n v="31"/>
    <n v="0"/>
    <n v="13"/>
    <n v="1"/>
  </r>
  <r>
    <s v="20cb7c2fde3e5bf10f0bbe7394e1c6a9"/>
    <s v="andira-pr"/>
    <x v="2"/>
    <n v="3.84313725490196"/>
    <x v="86"/>
    <n v="36"/>
    <n v="5"/>
    <n v="10"/>
    <n v="1"/>
  </r>
  <r>
    <s v="20d83f3ef0e6925fd74bfd59170babf7"/>
    <s v="sao paulo"/>
    <x v="1"/>
    <n v="4.3518518518518503"/>
    <x v="25"/>
    <n v="47"/>
    <n v="3"/>
    <n v="4"/>
    <n v="1"/>
  </r>
  <r>
    <s v="2138ccb85b11a4ec1e37afbd1c8eda1f"/>
    <s v="sao paulo"/>
    <x v="1"/>
    <n v="3.8997668997668899"/>
    <x v="87"/>
    <n v="303"/>
    <n v="49"/>
    <n v="77"/>
    <n v="1"/>
  </r>
  <r>
    <s v="213b25e6f54661939f11710a6fddb871"/>
    <s v="salto"/>
    <x v="1"/>
    <n v="3.7916666666666599"/>
    <x v="49"/>
    <n v="132"/>
    <n v="20"/>
    <n v="40"/>
    <n v="1"/>
  </r>
  <r>
    <s v="2156f2671501a81034d7d07f217609d0"/>
    <s v="sp"/>
    <x v="1"/>
    <n v="3.8636363636363602"/>
    <x v="18"/>
    <n v="16"/>
    <n v="2"/>
    <n v="4"/>
    <n v="1"/>
  </r>
  <r>
    <s v="218d46b86c1881d022bce9c68a7d4b15"/>
    <s v="ribeirao preto"/>
    <x v="1"/>
    <n v="4.1428571428571397"/>
    <x v="88"/>
    <n v="340"/>
    <n v="31"/>
    <n v="56"/>
    <n v="1"/>
  </r>
  <r>
    <s v="2199e7fe213c16213bf5d6a7eadc9a5d"/>
    <s v="registro"/>
    <x v="1"/>
    <n v="4.2903225806451601"/>
    <x v="40"/>
    <n v="24"/>
    <n v="4"/>
    <n v="3"/>
    <n v="1"/>
  </r>
  <r>
    <s v="229c3efbfb0ea2058de4ccdfbc3d784a"/>
    <s v="belo horizonte"/>
    <x v="4"/>
    <n v="3.6438356164383499"/>
    <x v="39"/>
    <n v="99"/>
    <n v="10"/>
    <n v="37"/>
    <n v="1"/>
  </r>
  <r>
    <s v="232a6014e7b10cba61c6c2b2ea6bb4b0"/>
    <s v="cafelandia"/>
    <x v="1"/>
    <n v="4.0857142857142801"/>
    <x v="55"/>
    <n v="28"/>
    <n v="2"/>
    <n v="5"/>
    <n v="1"/>
  </r>
  <r>
    <s v="23613d49c3ac2bd302259e55c06c050c"/>
    <s v="porto ferreira"/>
    <x v="1"/>
    <n v="3.65822784810126"/>
    <x v="89"/>
    <n v="50"/>
    <n v="6"/>
    <n v="23"/>
    <n v="1"/>
  </r>
  <r>
    <s v="238fac594e170b59c6d228f5a4f4f1d9"/>
    <s v="dois corregos"/>
    <x v="1"/>
    <n v="3.9655172413793101"/>
    <x v="83"/>
    <n v="20"/>
    <n v="5"/>
    <n v="4"/>
    <n v="1"/>
  </r>
  <r>
    <s v="23a0ffca143a15b9b5bbdb7d552f626a"/>
    <s v="sao pedro"/>
    <x v="1"/>
    <n v="3.9583333333333299"/>
    <x v="10"/>
    <n v="17"/>
    <n v="2"/>
    <n v="5"/>
    <n v="1"/>
  </r>
  <r>
    <s v="23c38debaffe4a25a30fdbd9b586a13f"/>
    <s v="votorantim"/>
    <x v="1"/>
    <n v="4.3043478260869499"/>
    <x v="90"/>
    <n v="37"/>
    <n v="8"/>
    <n v="1"/>
    <n v="1"/>
  </r>
  <r>
    <s v="23d7c96d4a1160db1c726b248601b25a"/>
    <s v="capivari"/>
    <x v="1"/>
    <n v="3.8113207547169798"/>
    <x v="91"/>
    <n v="36"/>
    <n v="7"/>
    <n v="10"/>
    <n v="1"/>
  </r>
  <r>
    <s v="240b9776d844d37535668549a396af32"/>
    <s v="niteroi"/>
    <x v="5"/>
    <n v="4.2777777777777697"/>
    <x v="92"/>
    <n v="30"/>
    <n v="2"/>
    <n v="4"/>
    <n v="1"/>
  </r>
  <r>
    <s v="244c2f1bff6afe1f2eaf9bfe9b2aed38"/>
    <s v="mogi das cruzes"/>
    <x v="1"/>
    <n v="3.7"/>
    <x v="11"/>
    <n v="20"/>
    <n v="4"/>
    <n v="6"/>
    <n v="1"/>
  </r>
  <r>
    <s v="2528513dd95219a6013d4d05176e391a"/>
    <s v="osasco"/>
    <x v="1"/>
    <n v="3.9451219512195101"/>
    <x v="93"/>
    <n v="117"/>
    <n v="18"/>
    <n v="29"/>
    <n v="1"/>
  </r>
  <r>
    <s v="259f7b5e6e482c230e5bfaa670b6bb8f"/>
    <s v="poa"/>
    <x v="1"/>
    <n v="4.2060606060605998"/>
    <x v="94"/>
    <n v="133"/>
    <n v="8"/>
    <n v="24"/>
    <n v="1"/>
  </r>
  <r>
    <s v="25c5c91f63607446a97b143d2d535d31"/>
    <s v="itauna"/>
    <x v="4"/>
    <n v="3.7032967032966999"/>
    <x v="51"/>
    <n v="185"/>
    <n v="26"/>
    <n v="62"/>
    <n v="1"/>
  </r>
  <r>
    <s v="25cf099de44674fde97473224f9d59ab"/>
    <s v="cotia"/>
    <x v="1"/>
    <n v="4.3265306122448903"/>
    <x v="95"/>
    <n v="40"/>
    <n v="4"/>
    <n v="5"/>
    <n v="1"/>
  </r>
  <r>
    <s v="25e6ffe976bd75618accfe16cefcbd0d"/>
    <s v="sao paulo"/>
    <x v="1"/>
    <n v="4.3846153846153797"/>
    <x v="73"/>
    <n v="102"/>
    <n v="4"/>
    <n v="11"/>
    <n v="1"/>
  </r>
  <r>
    <s v="26d8a1c7c75d513045798992ead43aa2"/>
    <s v="apucarana"/>
    <x v="2"/>
    <n v="4.2368421052631504"/>
    <x v="28"/>
    <n v="31"/>
    <n v="2"/>
    <n v="5"/>
    <n v="1"/>
  </r>
  <r>
    <s v="2709af9587499e95e803a6498a5a56e9"/>
    <s v="sao paulo"/>
    <x v="1"/>
    <n v="2.5652173913043401"/>
    <x v="90"/>
    <n v="18"/>
    <n v="1"/>
    <n v="27"/>
    <n v="1"/>
  </r>
  <r>
    <s v="271c58a1d139c45eaf3316107c6d3a3b"/>
    <s v="sao paulo"/>
    <x v="1"/>
    <n v="4.0689655172413701"/>
    <x v="83"/>
    <n v="20"/>
    <n v="4"/>
    <n v="5"/>
    <n v="1"/>
  </r>
  <r>
    <s v="272f092de69afedd4d2969440b37f18f"/>
    <s v="sao paulo"/>
    <x v="1"/>
    <n v="3.9230769230769198"/>
    <x v="6"/>
    <n v="30"/>
    <n v="0"/>
    <n v="9"/>
    <n v="1"/>
  </r>
  <r>
    <s v="2745f798279e0ed033addcc1474776d7"/>
    <s v="sao paulo"/>
    <x v="1"/>
    <n v="3.9677419354838701"/>
    <x v="40"/>
    <n v="21"/>
    <n v="6"/>
    <n v="4"/>
    <n v="1"/>
  </r>
  <r>
    <s v="276677b5d08786d5dce7c2149dcce48b"/>
    <s v="belo horizonte"/>
    <x v="4"/>
    <n v="3.8085106382978702"/>
    <x v="58"/>
    <n v="33"/>
    <n v="2"/>
    <n v="12"/>
    <n v="1"/>
  </r>
  <r>
    <s v="282f23a9769b2690c5dda22e316f9941"/>
    <s v="belo horizonte"/>
    <x v="4"/>
    <n v="4.3"/>
    <x v="96"/>
    <n v="89"/>
    <n v="16"/>
    <n v="5"/>
    <n v="1"/>
  </r>
  <r>
    <s v="289cdb325fb7e7f891c38608bf9e0962"/>
    <s v="belo horizonte"/>
    <x v="1"/>
    <n v="4.5793650793650702"/>
    <x v="97"/>
    <n v="115"/>
    <n v="5"/>
    <n v="6"/>
    <n v="1"/>
  </r>
  <r>
    <s v="28f10b1c5e5abb9d4857745bede6147c"/>
    <s v="sao paulo"/>
    <x v="1"/>
    <n v="4"/>
    <x v="16"/>
    <n v="22"/>
    <n v="1"/>
    <n v="5"/>
    <n v="1"/>
  </r>
  <r>
    <s v="2a1348e9addc1af5aaa619b1a3679d6b"/>
    <s v="belo horizonte"/>
    <x v="4"/>
    <n v="3"/>
    <x v="25"/>
    <n v="26"/>
    <n v="6"/>
    <n v="22"/>
    <n v="1"/>
  </r>
  <r>
    <s v="2a261b5b644fa05f4f2700eb93544f2c"/>
    <s v="porto ferreira"/>
    <x v="1"/>
    <n v="3.3373493975903599"/>
    <x v="98"/>
    <n v="50"/>
    <n v="3"/>
    <n v="30"/>
    <n v="1"/>
  </r>
  <r>
    <s v="2a5b78b41cd05baeac8df54c6606b92c"/>
    <s v="formiga"/>
    <x v="4"/>
    <n v="4.0833333333333304"/>
    <x v="22"/>
    <n v="43"/>
    <n v="9"/>
    <n v="8"/>
    <n v="1"/>
  </r>
  <r>
    <s v="2a61c271b1ac763450d846849783e922"/>
    <s v="santo andre"/>
    <x v="1"/>
    <n v="3.6521739130434701"/>
    <x v="31"/>
    <n v="12"/>
    <n v="6"/>
    <n v="5"/>
    <n v="1"/>
  </r>
  <r>
    <s v="2a6fbeaa7ab9e5d59a35841a8da71ce4"/>
    <s v="jaragua do sul"/>
    <x v="3"/>
    <n v="3.9310344827586201"/>
    <x v="83"/>
    <n v="20"/>
    <n v="4"/>
    <n v="5"/>
    <n v="1"/>
  </r>
  <r>
    <s v="2a7dc43cecabf23403078e2188437d1d"/>
    <s v="sao paulo"/>
    <x v="1"/>
    <n v="4.0925925925925899"/>
    <x v="25"/>
    <n v="43"/>
    <n v="5"/>
    <n v="6"/>
    <n v="1"/>
  </r>
  <r>
    <s v="2a84855fd20af891be03bc5924d2b453"/>
    <s v="belo horizonte"/>
    <x v="4"/>
    <n v="4.2335329341317296"/>
    <x v="99"/>
    <n v="133"/>
    <n v="15"/>
    <n v="19"/>
    <n v="1"/>
  </r>
  <r>
    <s v="2b1a40c1daabc6ca280c4b815c101841"/>
    <s v="divinopolis"/>
    <x v="4"/>
    <n v="3.6285714285714201"/>
    <x v="55"/>
    <n v="20"/>
    <n v="7"/>
    <n v="8"/>
    <n v="1"/>
  </r>
  <r>
    <s v="2b3e4a2a3ea8e01938cabda2a3e5cc79"/>
    <s v="sao paulo"/>
    <x v="1"/>
    <n v="4.3888888888888804"/>
    <x v="25"/>
    <n v="46"/>
    <n v="4"/>
    <n v="4"/>
    <n v="1"/>
  </r>
  <r>
    <s v="2bf6a2c1e71bbd29a4ad64e6d3c3629f"/>
    <s v="nova friburgo"/>
    <x v="5"/>
    <n v="4.1935483870967696"/>
    <x v="40"/>
    <n v="25"/>
    <n v="2"/>
    <n v="4"/>
    <n v="1"/>
  </r>
  <r>
    <s v="2c9e548be18521d1c43cde1c582c6de8"/>
    <s v="mogi das cruzes"/>
    <x v="1"/>
    <n v="3.9239766081871301"/>
    <x v="100"/>
    <n v="124"/>
    <n v="13"/>
    <n v="34"/>
    <n v="1"/>
  </r>
  <r>
    <s v="2d50d6282f8aa2257819a77bfaa0efe0"/>
    <s v="ibitinga"/>
    <x v="1"/>
    <n v="3.6444444444444399"/>
    <x v="101"/>
    <n v="29"/>
    <n v="5"/>
    <n v="11"/>
    <n v="1"/>
  </r>
  <r>
    <s v="2dee2ce60de9709b1a24083217181a1f"/>
    <s v="sinop"/>
    <x v="8"/>
    <n v="4.3636363636363598"/>
    <x v="54"/>
    <n v="46"/>
    <n v="5"/>
    <n v="4"/>
    <n v="1"/>
  </r>
  <r>
    <s v="2e13c71026e1a39ba5cc1b86dcb679aa"/>
    <s v="sao paulo"/>
    <x v="1"/>
    <n v="4.25"/>
    <x v="16"/>
    <n v="21"/>
    <n v="4"/>
    <n v="3"/>
    <n v="1"/>
  </r>
  <r>
    <s v="2e1a7d075abe038c1b2743005fe42ff1"/>
    <s v="sao paulo"/>
    <x v="1"/>
    <n v="3.6956521739130399"/>
    <x v="31"/>
    <n v="16"/>
    <n v="0"/>
    <n v="7"/>
    <n v="1"/>
  </r>
  <r>
    <s v="2e1c9f22be269ef4643f826c9e650a52"/>
    <s v="sao paulo"/>
    <x v="1"/>
    <n v="4.16374269005847"/>
    <x v="100"/>
    <n v="135"/>
    <n v="14"/>
    <n v="22"/>
    <n v="1"/>
  </r>
  <r>
    <s v="2e90cb1677d35cfe24eef47d441b7c87"/>
    <s v="sao paulo"/>
    <x v="1"/>
    <n v="4.0364963503649598"/>
    <x v="102"/>
    <n v="102"/>
    <n v="12"/>
    <n v="23"/>
    <n v="1"/>
  </r>
  <r>
    <s v="2eb70248d66e0e3ef83659f71b244378"/>
    <s v="campinas"/>
    <x v="1"/>
    <n v="2.7129186602870798"/>
    <x v="103"/>
    <n v="76"/>
    <n v="28"/>
    <n v="105"/>
    <n v="1"/>
  </r>
  <r>
    <s v="2ff97219cb8622eaf3cd89b7d9c09824"/>
    <s v="salto"/>
    <x v="1"/>
    <n v="4.5416666666666599"/>
    <x v="17"/>
    <n v="88"/>
    <n v="5"/>
    <n v="3"/>
    <n v="1"/>
  </r>
  <r>
    <s v="3078096983cf766a32a06257648502d1"/>
    <s v="scao jose do rio pardo"/>
    <x v="1"/>
    <n v="4.203125"/>
    <x v="20"/>
    <n v="51"/>
    <n v="4"/>
    <n v="9"/>
    <n v="1"/>
  </r>
  <r>
    <s v="30829ded4523ab9224b93bc49a62c95f"/>
    <s v="parai"/>
    <x v="6"/>
    <n v="3.5806451612903198"/>
    <x v="40"/>
    <n v="20"/>
    <n v="2"/>
    <n v="9"/>
    <n v="1"/>
  </r>
  <r>
    <s v="3092c0b297aacfb4bb6e056ebe13b9b8"/>
    <s v="aruja"/>
    <x v="1"/>
    <n v="3.5714285714285698"/>
    <x v="33"/>
    <n v="11"/>
    <n v="4"/>
    <n v="6"/>
    <n v="1"/>
  </r>
  <r>
    <s v="30a2f535bb48308f991d0b9ad4a8c4bb"/>
    <s v="santa barbara d'oeste"/>
    <x v="1"/>
    <n v="4.2613636363636296"/>
    <x v="104"/>
    <n v="71"/>
    <n v="5"/>
    <n v="12"/>
    <n v="1"/>
  </r>
  <r>
    <s v="30a81d8cf85fb2ada1b1b094c9583a95"/>
    <s v="sao paulo"/>
    <x v="1"/>
    <n v="4.8499999999999996"/>
    <x v="35"/>
    <n v="20"/>
    <n v="0"/>
    <n v="0"/>
    <n v="1"/>
  </r>
  <r>
    <s v="31344c16881c08a8a72c6d2eb29918c1"/>
    <s v="uba"/>
    <x v="4"/>
    <n v="4.34883720930232"/>
    <x v="12"/>
    <n v="36"/>
    <n v="2"/>
    <n v="5"/>
    <n v="1"/>
  </r>
  <r>
    <s v="31561f325664a8a7aba4c8d0c3a9b3db"/>
    <s v="sao paulo"/>
    <x v="1"/>
    <n v="4.5789473684210504"/>
    <x v="28"/>
    <n v="34"/>
    <n v="2"/>
    <n v="2"/>
    <n v="1"/>
  </r>
  <r>
    <s v="318f287a62ab7ac10b703ac37435a231"/>
    <s v="sao paulo"/>
    <x v="1"/>
    <n v="3.87096774193548"/>
    <x v="105"/>
    <n v="44"/>
    <n v="5"/>
    <n v="13"/>
    <n v="1"/>
  </r>
  <r>
    <s v="31da954dc0855f2495c6310f70a2f931"/>
    <s v="araras"/>
    <x v="1"/>
    <n v="4.2333333333333298"/>
    <x v="11"/>
    <n v="24"/>
    <n v="3"/>
    <n v="3"/>
    <n v="1"/>
  </r>
  <r>
    <s v="323ce52b5b81df2cd804b017b7f09aa7"/>
    <s v="sao paulo"/>
    <x v="1"/>
    <n v="4.3103448275862002"/>
    <x v="83"/>
    <n v="26"/>
    <n v="0"/>
    <n v="3"/>
    <n v="1"/>
  </r>
  <r>
    <s v="325f3178fb58e2a9778334621eecdbf9"/>
    <s v="taboao da serra"/>
    <x v="1"/>
    <n v="4.4565217391304301"/>
    <x v="90"/>
    <n v="40"/>
    <n v="2"/>
    <n v="4"/>
    <n v="1"/>
  </r>
  <r>
    <s v="32b8764b4ef628b53608fc34011fcc13"/>
    <s v="lages"/>
    <x v="3"/>
    <n v="4.2368421052631504"/>
    <x v="28"/>
    <n v="29"/>
    <n v="7"/>
    <n v="2"/>
    <n v="1"/>
  </r>
  <r>
    <s v="3340ef1913fb70d28420f6ceb685c339"/>
    <s v="maringa"/>
    <x v="2"/>
    <n v="4.3333333333333304"/>
    <x v="53"/>
    <n v="35"/>
    <n v="4"/>
    <n v="3"/>
    <n v="1"/>
  </r>
  <r>
    <s v="334cab711dee080b079fa5779b584783"/>
    <s v="santo andre"/>
    <x v="1"/>
    <n v="4.9615384615384599"/>
    <x v="3"/>
    <n v="26"/>
    <n v="0"/>
    <n v="0"/>
    <n v="1"/>
  </r>
  <r>
    <s v="33576ec5412fb5905d876f12f33bfde6"/>
    <s v="curitiba"/>
    <x v="2"/>
    <n v="4.1212121212121202"/>
    <x v="74"/>
    <n v="26"/>
    <n v="4"/>
    <n v="3"/>
    <n v="1"/>
  </r>
  <r>
    <s v="3361277dc30b7cccdb0c286b24219756"/>
    <s v="maringa"/>
    <x v="2"/>
    <n v="4.21428571428571"/>
    <x v="53"/>
    <n v="33"/>
    <n v="7"/>
    <n v="2"/>
    <n v="1"/>
  </r>
  <r>
    <s v="33a17d60c64393351ebf1ef860f4e0f2"/>
    <s v="porto alegre"/>
    <x v="6"/>
    <n v="4.6170212765957404"/>
    <x v="58"/>
    <n v="42"/>
    <n v="4"/>
    <n v="1"/>
    <n v="1"/>
  </r>
  <r>
    <s v="33a6f4b1e7cdc205511e76ba1b6e0186"/>
    <s v="guarulhos"/>
    <x v="1"/>
    <n v="4.3571428571428497"/>
    <x v="97"/>
    <n v="108"/>
    <n v="5"/>
    <n v="13"/>
    <n v="1"/>
  </r>
  <r>
    <s v="33ac3e28642ab8bda860a2f693000e78"/>
    <s v="cotia"/>
    <x v="1"/>
    <n v="4.2285714285714198"/>
    <x v="55"/>
    <n v="28"/>
    <n v="3"/>
    <n v="4"/>
    <n v="1"/>
  </r>
  <r>
    <s v="34056b8b55c1775a22af2331670a799c"/>
    <s v="penapolis"/>
    <x v="1"/>
    <n v="4"/>
    <x v="85"/>
    <n v="60"/>
    <n v="6"/>
    <n v="12"/>
    <n v="1"/>
  </r>
  <r>
    <s v="343e716476e3748b069f980efbaa294e"/>
    <s v="campinas"/>
    <x v="1"/>
    <n v="4"/>
    <x v="31"/>
    <n v="17"/>
    <n v="1"/>
    <n v="5"/>
    <n v="1"/>
  </r>
  <r>
    <s v="3481aa57cd91f9f9d3fa1fa12d9a3bf7"/>
    <s v="capivari"/>
    <x v="1"/>
    <n v="3.88"/>
    <x v="46"/>
    <n v="17"/>
    <n v="3"/>
    <n v="5"/>
    <n v="1"/>
  </r>
  <r>
    <s v="34d1ca11b242c0fee2c834ae8d788566"/>
    <s v="congonhas"/>
    <x v="4"/>
    <n v="4.3"/>
    <x v="29"/>
    <n v="32"/>
    <n v="6"/>
    <n v="2"/>
    <n v="1"/>
  </r>
  <r>
    <s v="3504c0cb71d7fa48d967e0e4c94d59d9"/>
    <s v="maua"/>
    <x v="1"/>
    <n v="4.4150943396226401"/>
    <x v="91"/>
    <n v="46"/>
    <n v="5"/>
    <n v="2"/>
    <n v="1"/>
  </r>
  <r>
    <s v="3586b8580d9c917874e053a1bb37b5ff"/>
    <s v="araraquara"/>
    <x v="1"/>
    <n v="4.4418604651162701"/>
    <x v="12"/>
    <n v="37"/>
    <n v="3"/>
    <n v="3"/>
    <n v="1"/>
  </r>
  <r>
    <s v="36a968b544695394e4e9d7572688598f"/>
    <s v="santos"/>
    <x v="1"/>
    <n v="3.6380368098159499"/>
    <x v="106"/>
    <n v="105"/>
    <n v="18"/>
    <n v="40"/>
    <n v="1"/>
  </r>
  <r>
    <s v="373ee4a3a775a733770ca3f790b8b9ac"/>
    <s v="rio de janeiro"/>
    <x v="5"/>
    <n v="4"/>
    <x v="31"/>
    <n v="18"/>
    <n v="0"/>
    <n v="5"/>
    <n v="1"/>
  </r>
  <r>
    <s v="37515688008a7a40ac93e3b2e4ab203f"/>
    <s v="dracena"/>
    <x v="1"/>
    <n v="4.0840336134453699"/>
    <x v="107"/>
    <n v="175"/>
    <n v="37"/>
    <n v="26"/>
    <n v="1"/>
  </r>
  <r>
    <s v="376a891762bbdecbc02b4b6adec3fdda"/>
    <s v="goiania"/>
    <x v="9"/>
    <n v="4.6724137931034404"/>
    <x v="63"/>
    <n v="54"/>
    <n v="3"/>
    <n v="1"/>
    <n v="1"/>
  </r>
  <r>
    <s v="3771c85bac139d2344864ede5d9341e3"/>
    <s v="sorocaba"/>
    <x v="1"/>
    <n v="3.5666666666666602"/>
    <x v="11"/>
    <n v="18"/>
    <n v="2"/>
    <n v="10"/>
    <n v="1"/>
  </r>
  <r>
    <s v="3785b653b1b82de85ab47dd139938091"/>
    <s v="ampere"/>
    <x v="2"/>
    <n v="4.76"/>
    <x v="46"/>
    <n v="24"/>
    <n v="1"/>
    <n v="0"/>
    <n v="1"/>
  </r>
  <r>
    <s v="37be5a7c751166fbc5f8ccba4119e043"/>
    <s v="sao paulo"/>
    <x v="1"/>
    <n v="4.3014184397163104"/>
    <x v="108"/>
    <n v="239"/>
    <n v="16"/>
    <n v="27"/>
    <n v="1"/>
  </r>
  <r>
    <s v="381c83fdca332ea6afd896da20bf6e4a"/>
    <s v="curitiba"/>
    <x v="2"/>
    <n v="4.3913043478260798"/>
    <x v="90"/>
    <n v="42"/>
    <n v="0"/>
    <n v="4"/>
    <n v="1"/>
  </r>
  <r>
    <s v="382229d1e840115ffe3dbf5ff460e417"/>
    <s v="rio de janeiro"/>
    <x v="5"/>
    <n v="4.2653061224489699"/>
    <x v="95"/>
    <n v="41"/>
    <n v="2"/>
    <n v="6"/>
    <n v="1"/>
  </r>
  <r>
    <s v="38e679b9e0064cd94c6f035707344dae"/>
    <s v="londrina"/>
    <x v="2"/>
    <n v="3.9310344827586201"/>
    <x v="83"/>
    <n v="22"/>
    <n v="1"/>
    <n v="6"/>
    <n v="1"/>
  </r>
  <r>
    <s v="391fc6631aebcf3004804e51b40bcf1e"/>
    <s v="ibitinga"/>
    <x v="1"/>
    <n v="3.9533762057877802"/>
    <x v="109"/>
    <n v="450"/>
    <n v="69"/>
    <n v="103"/>
    <n v="1"/>
  </r>
  <r>
    <s v="39d54ff918774174706fb065d7f9dc07"/>
    <s v="sao paulo"/>
    <x v="1"/>
    <n v="3.8"/>
    <x v="46"/>
    <n v="18"/>
    <n v="0"/>
    <n v="7"/>
    <n v="1"/>
  </r>
  <r>
    <s v="3a734b715d333a2588a3d54a0c9b8746"/>
    <s v="osasco"/>
    <x v="1"/>
    <n v="4.2083333333333304"/>
    <x v="10"/>
    <n v="19"/>
    <n v="2"/>
    <n v="3"/>
    <n v="1"/>
  </r>
  <r>
    <s v="3ab971ce71839580d2ae5b4e40fe8044"/>
    <s v="sao paulo"/>
    <x v="1"/>
    <n v="3.88888888888888"/>
    <x v="92"/>
    <n v="27"/>
    <n v="2"/>
    <n v="7"/>
    <n v="1"/>
  </r>
  <r>
    <s v="3ade81dab5a172b88e1871c28ae05260"/>
    <s v="sao jose do rio preto"/>
    <x v="1"/>
    <n v="4.06451612903225"/>
    <x v="40"/>
    <n v="24"/>
    <n v="1"/>
    <n v="6"/>
    <n v="1"/>
  </r>
  <r>
    <s v="3b15288545f8928d3e65a8f949a28291"/>
    <s v="ibitinga"/>
    <x v="1"/>
    <n v="3.85365853658536"/>
    <x v="110"/>
    <n v="89"/>
    <n v="11"/>
    <n v="23"/>
    <n v="1"/>
  </r>
  <r>
    <s v="3b872fd4747f01cc56206f2934198618"/>
    <s v="ibitinga"/>
    <x v="1"/>
    <n v="3.88888888888888"/>
    <x v="34"/>
    <n v="18"/>
    <n v="5"/>
    <n v="4"/>
    <n v="1"/>
  </r>
  <r>
    <s v="3bb548e3cb7f70f28e3f11ee9dce0e59"/>
    <s v="maringa"/>
    <x v="2"/>
    <n v="3.9811320754716899"/>
    <x v="91"/>
    <n v="40"/>
    <n v="4"/>
    <n v="9"/>
    <n v="1"/>
  </r>
  <r>
    <s v="3bdff180c7e1f6551a643b99c265a120"/>
    <s v="sao paulo"/>
    <x v="1"/>
    <n v="4.0166666666666604"/>
    <x v="22"/>
    <n v="44"/>
    <n v="7"/>
    <n v="9"/>
    <n v="1"/>
  </r>
  <r>
    <s v="3be634553519fb6536a03e1358e9fdc7"/>
    <s v="sao paulo"/>
    <x v="1"/>
    <n v="3.92"/>
    <x v="111"/>
    <n v="71"/>
    <n v="9"/>
    <n v="20"/>
    <n v="1"/>
  </r>
  <r>
    <s v="3c03b12bab54d8b37d79d914bfdb1aa0"/>
    <s v="sao joao de meriti"/>
    <x v="5"/>
    <n v="3.88095238095238"/>
    <x v="53"/>
    <n v="31"/>
    <n v="3"/>
    <n v="8"/>
    <n v="1"/>
  </r>
  <r>
    <s v="3c487ae8f8d7542beff5788e2e0aea83"/>
    <s v="gama"/>
    <x v="10"/>
    <n v="3.9090909090908998"/>
    <x v="74"/>
    <n v="25"/>
    <n v="2"/>
    <n v="6"/>
    <n v="1"/>
  </r>
  <r>
    <s v="3c4e0452bff7a2a788179488d3d77032"/>
    <s v="colombo"/>
    <x v="2"/>
    <n v="3.7428571428571402"/>
    <x v="55"/>
    <n v="24"/>
    <n v="3"/>
    <n v="8"/>
    <n v="1"/>
  </r>
  <r>
    <s v="3c7c4a49ec3c6550809089c6a2ca9370"/>
    <s v="sao paulo"/>
    <x v="1"/>
    <n v="3.6894409937888102"/>
    <x v="112"/>
    <n v="102"/>
    <n v="14"/>
    <n v="45"/>
    <n v="1"/>
  </r>
  <r>
    <s v="3d5d0dc7073a299e31fa718ce1bc00b6"/>
    <s v="rio de janeiro"/>
    <x v="5"/>
    <n v="4.1666666666666599"/>
    <x v="10"/>
    <n v="19"/>
    <n v="0"/>
    <n v="5"/>
    <n v="1"/>
  </r>
  <r>
    <s v="3d871de0142ce09b7081e2b9d1733cb1"/>
    <s v="campo limpo paulista"/>
    <x v="1"/>
    <n v="4.1144366197183002"/>
    <x v="113"/>
    <n v="883"/>
    <n v="110"/>
    <n v="143"/>
    <n v="1"/>
  </r>
  <r>
    <s v="3d8fa2f5b647373c8620330c4e077a9f"/>
    <s v="sao paulo"/>
    <x v="1"/>
    <n v="4.0444444444444398"/>
    <x v="101"/>
    <n v="34"/>
    <n v="3"/>
    <n v="8"/>
    <n v="1"/>
  </r>
  <r>
    <s v="3db66a856d18a9cba7c9241fc5221c50"/>
    <s v="ponte nova"/>
    <x v="4"/>
    <n v="4.1717171717171704"/>
    <x v="114"/>
    <n v="80"/>
    <n v="9"/>
    <n v="10"/>
    <n v="1"/>
  </r>
  <r>
    <s v="3dbbce181edfaa4a597ec858c382d2ec"/>
    <s v="curitiba"/>
    <x v="2"/>
    <n v="4.3499999999999996"/>
    <x v="35"/>
    <n v="17"/>
    <n v="1"/>
    <n v="2"/>
    <n v="1"/>
  </r>
  <r>
    <s v="3df020b72d3d44b3af9d110fa3940b65"/>
    <s v="jales"/>
    <x v="1"/>
    <n v="3.95049504950495"/>
    <x v="115"/>
    <n v="76"/>
    <n v="8"/>
    <n v="17"/>
    <n v="1"/>
  </r>
  <r>
    <s v="3f3486b61f45078d4f31ee5e43d8c5bb"/>
    <s v="sao paulo"/>
    <x v="1"/>
    <n v="4.3250000000000002"/>
    <x v="29"/>
    <n v="34"/>
    <n v="3"/>
    <n v="3"/>
    <n v="1"/>
  </r>
  <r>
    <s v="3f995f07c49d0d55a99d5c54957f7d81"/>
    <s v="itapecerica da serra"/>
    <x v="1"/>
    <n v="4.2093023255813904"/>
    <x v="12"/>
    <n v="34"/>
    <n v="5"/>
    <n v="4"/>
    <n v="1"/>
  </r>
  <r>
    <s v="3fd1e727ba94cfe122d165e176ce7967"/>
    <s v="araraquara"/>
    <x v="1"/>
    <n v="3.8157894736842102"/>
    <x v="28"/>
    <n v="26"/>
    <n v="4"/>
    <n v="8"/>
    <n v="1"/>
  </r>
  <r>
    <s v="406822777a0b9eb5c50e442dd4cd3ec5"/>
    <s v="tatui"/>
    <x v="1"/>
    <n v="4.3260869565217304"/>
    <x v="90"/>
    <n v="37"/>
    <n v="5"/>
    <n v="4"/>
    <n v="1"/>
  </r>
  <r>
    <s v="40d54b51e962dbe09cabbcfd33298dee"/>
    <s v="santo andre"/>
    <x v="1"/>
    <n v="3.9032258064516099"/>
    <x v="40"/>
    <n v="23"/>
    <n v="1"/>
    <n v="7"/>
    <n v="1"/>
  </r>
  <r>
    <s v="411f3b52d857390502ee4e4d5ceabc2d"/>
    <s v="ribeirao pires"/>
    <x v="1"/>
    <n v="4.2592592592592498"/>
    <x v="34"/>
    <n v="24"/>
    <n v="0"/>
    <n v="3"/>
    <n v="1"/>
  </r>
  <r>
    <s v="412a4720f3e9431b4afa1476a1acddbe"/>
    <s v="campinas"/>
    <x v="1"/>
    <n v="4.2727272727272698"/>
    <x v="18"/>
    <n v="19"/>
    <n v="1"/>
    <n v="2"/>
    <n v="1"/>
  </r>
  <r>
    <s v="41b39e28db005d9731d9d485a83b4c38"/>
    <s v="santo andre"/>
    <x v="1"/>
    <n v="4.1260504201680597"/>
    <x v="107"/>
    <n v="185"/>
    <n v="17"/>
    <n v="36"/>
    <n v="1"/>
  </r>
  <r>
    <s v="41c2bad7229b0c25e6becf179ebf63ff"/>
    <s v="natal"/>
    <x v="11"/>
    <n v="4.9565217391304301"/>
    <x v="31"/>
    <n v="23"/>
    <n v="0"/>
    <n v="0"/>
    <n v="1"/>
  </r>
  <r>
    <s v="41da412d33e8da4f22baf55cb1bde82c"/>
    <s v="domingos martins"/>
    <x v="0"/>
    <n v="4.71428571428571"/>
    <x v="33"/>
    <n v="20"/>
    <n v="1"/>
    <n v="0"/>
    <n v="1"/>
  </r>
  <r>
    <s v="4200ddf1967c5e41e48db62bc6d4b5ac"/>
    <s v="sao bernardo do campo"/>
    <x v="1"/>
    <n v="4.2432432432432403"/>
    <x v="77"/>
    <n v="29"/>
    <n v="2"/>
    <n v="6"/>
    <n v="1"/>
  </r>
  <r>
    <s v="42b729f859728f5079499127a9c2ef37"/>
    <s v="sao paulo"/>
    <x v="1"/>
    <n v="4.3538461538461499"/>
    <x v="8"/>
    <n v="110"/>
    <n v="8"/>
    <n v="12"/>
    <n v="1"/>
  </r>
  <r>
    <s v="42bde9fef835393bb8a8849cb6b7f245"/>
    <s v="brasilia"/>
    <x v="10"/>
    <n v="4.2"/>
    <x v="29"/>
    <n v="32"/>
    <n v="4"/>
    <n v="4"/>
    <n v="1"/>
  </r>
  <r>
    <s v="42ef3192a9ff87a22d1867b74b3ee205"/>
    <s v="santo andre"/>
    <x v="1"/>
    <n v="4.6521739130434696"/>
    <x v="31"/>
    <n v="21"/>
    <n v="1"/>
    <n v="1"/>
    <n v="1"/>
  </r>
  <r>
    <s v="42fa4ee7240e9b8eb4576358ec142ba7"/>
    <s v="caxias do sul"/>
    <x v="6"/>
    <n v="4.8095238095238004"/>
    <x v="33"/>
    <n v="21"/>
    <n v="0"/>
    <n v="0"/>
    <n v="1"/>
  </r>
  <r>
    <s v="430315b7bb4b6e4b3c978f9dfa9b0558"/>
    <s v="sao paulo"/>
    <x v="1"/>
    <n v="4"/>
    <x v="35"/>
    <n v="15"/>
    <n v="1"/>
    <n v="4"/>
    <n v="1"/>
  </r>
  <r>
    <s v="4305fe92735c8a43d154ff6dd2b8d927"/>
    <s v="coronel fabriciano"/>
    <x v="4"/>
    <n v="3.9047619047619002"/>
    <x v="33"/>
    <n v="13"/>
    <n v="4"/>
    <n v="4"/>
    <n v="1"/>
  </r>
  <r>
    <s v="431af27f296bc6519d890aa5a05fdb11"/>
    <s v="ribeirao preto"/>
    <x v="1"/>
    <n v="3.7839999999999998"/>
    <x v="116"/>
    <n v="87"/>
    <n v="7"/>
    <n v="31"/>
    <n v="1"/>
  </r>
  <r>
    <s v="432c37c9dfba871172ec162e20118b8c"/>
    <s v="brasilia"/>
    <x v="10"/>
    <n v="4.1754385964912197"/>
    <x v="117"/>
    <n v="47"/>
    <n v="2"/>
    <n v="8"/>
    <n v="1"/>
  </r>
  <r>
    <s v="4371b634e0efc0e22b09b52907d9d469"/>
    <s v="sao paulo"/>
    <x v="1"/>
    <n v="4.4054054054053999"/>
    <x v="118"/>
    <n v="94"/>
    <n v="7"/>
    <n v="10"/>
    <n v="1"/>
  </r>
  <r>
    <s v="43f8c9950d11ecd03a0304a49e010da6"/>
    <s v="carapicuiba"/>
    <x v="1"/>
    <n v="4.5609756097560901"/>
    <x v="45"/>
    <n v="35"/>
    <n v="5"/>
    <n v="1"/>
    <n v="1"/>
  </r>
  <r>
    <s v="44073f8b7e41514de3b7815dd0237f4f"/>
    <s v="brasilia"/>
    <x v="10"/>
    <n v="3.7565789473684199"/>
    <x v="119"/>
    <n v="99"/>
    <n v="22"/>
    <n v="31"/>
    <n v="1"/>
  </r>
  <r>
    <s v="440dd6ab244315c632130ecfb63827b1"/>
    <s v="votuporanga"/>
    <x v="1"/>
    <n v="3.8510638297872299"/>
    <x v="13"/>
    <n v="64"/>
    <n v="15"/>
    <n v="15"/>
    <n v="1"/>
  </r>
  <r>
    <s v="4559697a8f7e637227c2eeaed843baff"/>
    <s v="presidente prudente"/>
    <x v="1"/>
    <n v="4.0681818181818103"/>
    <x v="78"/>
    <n v="36"/>
    <n v="1"/>
    <n v="7"/>
    <n v="1"/>
  </r>
  <r>
    <s v="45ba18c210d42734ec52c0c1c574e9ee"/>
    <s v="sao roque"/>
    <x v="1"/>
    <n v="3.82926829268292"/>
    <x v="45"/>
    <n v="31"/>
    <n v="1"/>
    <n v="9"/>
    <n v="1"/>
  </r>
  <r>
    <s v="45d33f715e24d15a6ccf5c17b3a23e3c"/>
    <s v="sorocaba"/>
    <x v="1"/>
    <n v="4.0491803278688501"/>
    <x v="68"/>
    <n v="43"/>
    <n v="10"/>
    <n v="8"/>
    <n v="1"/>
  </r>
  <r>
    <s v="46dc3b2cc0980fb8ec44634e21d2718e"/>
    <s v="rio de janeiro"/>
    <x v="5"/>
    <n v="4.1813084112149497"/>
    <x v="120"/>
    <n v="431"/>
    <n v="32"/>
    <n v="72"/>
    <n v="1"/>
  </r>
  <r>
    <s v="4736e9d642ef4257cd7622516931eb51"/>
    <s v="piracicaba"/>
    <x v="1"/>
    <n v="4.1904761904761898"/>
    <x v="33"/>
    <n v="16"/>
    <n v="3"/>
    <n v="2"/>
    <n v="1"/>
  </r>
  <r>
    <s v="48162d548f5b1b11b9d29d1e01f75a61"/>
    <s v="piracicaba"/>
    <x v="1"/>
    <n v="3.7582417582417502"/>
    <x v="121"/>
    <n v="64"/>
    <n v="6"/>
    <n v="21"/>
    <n v="1"/>
  </r>
  <r>
    <s v="4830e40640734fc1c52cd21127c341d4"/>
    <s v="sao paulo"/>
    <x v="1"/>
    <n v="4.1045454545454501"/>
    <x v="44"/>
    <n v="173"/>
    <n v="17"/>
    <n v="30"/>
    <n v="1"/>
  </r>
  <r>
    <s v="48436dade18ac8b2bce089ec2a041202"/>
    <s v="volta redonda"/>
    <x v="1"/>
    <n v="4.0463576158940304"/>
    <x v="122"/>
    <n v="114"/>
    <n v="15"/>
    <n v="22"/>
    <n v="1"/>
  </r>
  <r>
    <s v="4869f7a5dfa277a7dca6462dcf3b52b2"/>
    <s v="guariba"/>
    <x v="1"/>
    <n v="4.1228222996515598"/>
    <x v="123"/>
    <n v="891"/>
    <n v="98"/>
    <n v="159"/>
    <n v="1"/>
  </r>
  <r>
    <s v="48efc9d94a9834137efd9ea76b065a38"/>
    <s v="curitiba"/>
    <x v="2"/>
    <n v="5"/>
    <x v="71"/>
    <n v="34"/>
    <n v="0"/>
    <n v="0"/>
    <n v="1"/>
  </r>
  <r>
    <s v="49067458c68f7701fd334ce326accbe0"/>
    <s v="juiz de fora"/>
    <x v="4"/>
    <n v="3.3684210526315699"/>
    <x v="28"/>
    <n v="23"/>
    <n v="2"/>
    <n v="13"/>
    <n v="1"/>
  </r>
  <r>
    <s v="4917cee8d902e13428c3ec4b1ca6f315"/>
    <s v="blumenau"/>
    <x v="3"/>
    <n v="4.15625"/>
    <x v="52"/>
    <n v="26"/>
    <n v="2"/>
    <n v="4"/>
    <n v="1"/>
  </r>
  <r>
    <s v="4992e76a42cb3aad7a7047e0d3d7e729"/>
    <s v="sao paulo"/>
    <x v="1"/>
    <n v="3.8378378378378302"/>
    <x v="43"/>
    <n v="48"/>
    <n v="13"/>
    <n v="13"/>
    <n v="1"/>
  </r>
  <r>
    <s v="4a1f694197d05fe70026b016a7316b41"/>
    <s v="pedreira"/>
    <x v="1"/>
    <n v="4.3913043478260798"/>
    <x v="31"/>
    <n v="19"/>
    <n v="1"/>
    <n v="3"/>
    <n v="1"/>
  </r>
  <r>
    <s v="4a3ca9315b744ce9f8e9374361493884"/>
    <s v="ibitinga"/>
    <x v="1"/>
    <n v="3.8039314516128999"/>
    <x v="124"/>
    <n v="1334"/>
    <n v="258"/>
    <n v="392"/>
    <n v="1"/>
  </r>
  <r>
    <s v="4a3ccda38b2129705f3fb522db62ca31"/>
    <s v="marilia"/>
    <x v="1"/>
    <n v="3.7341772151898698"/>
    <x v="89"/>
    <n v="51"/>
    <n v="9"/>
    <n v="19"/>
    <n v="1"/>
  </r>
  <r>
    <s v="4aba391bc3b88717ce08eb11e44937b2"/>
    <s v="arraial d'ajuda (porto seguro)"/>
    <x v="12"/>
    <n v="3.9"/>
    <x v="11"/>
    <n v="22"/>
    <n v="2"/>
    <n v="6"/>
    <n v="1"/>
  </r>
  <r>
    <s v="4b0fdb526525f9890eb145bf1534640e"/>
    <s v="ibitinga"/>
    <x v="1"/>
    <n v="3.95"/>
    <x v="35"/>
    <n v="14"/>
    <n v="2"/>
    <n v="4"/>
    <n v="1"/>
  </r>
  <r>
    <s v="4b5f66b7adcf57f1ecc0d3c07dd6b177"/>
    <s v="vendas@creditparts.com.br"/>
    <x v="2"/>
    <n v="4.0810810810810798"/>
    <x v="77"/>
    <n v="30"/>
    <n v="2"/>
    <n v="5"/>
    <n v="1"/>
  </r>
  <r>
    <s v="4b9750c8ad28220fe6702d4ecb7c898f"/>
    <s v="limeira"/>
    <x v="1"/>
    <n v="4.35135135135135"/>
    <x v="125"/>
    <n v="186"/>
    <n v="20"/>
    <n v="16"/>
    <n v="1"/>
  </r>
  <r>
    <s v="4bf2f4ee540798a61f9636d12cd9cc80"/>
    <s v="assis"/>
    <x v="1"/>
    <n v="4.1666666666666599"/>
    <x v="11"/>
    <n v="24"/>
    <n v="3"/>
    <n v="3"/>
    <n v="1"/>
  </r>
  <r>
    <s v="4bfc7a4a1cf8d4d2121c27422d9e50b5"/>
    <s v="sao paulo"/>
    <x v="1"/>
    <n v="4.2249999999999996"/>
    <x v="29"/>
    <n v="29"/>
    <n v="4"/>
    <n v="7"/>
    <n v="1"/>
  </r>
  <r>
    <s v="4c03b9dd4c11ee2cb35c96c49efc9420"/>
    <s v="campo limpo paulista"/>
    <x v="1"/>
    <n v="4.1063829787234001"/>
    <x v="58"/>
    <n v="37"/>
    <n v="3"/>
    <n v="7"/>
    <n v="1"/>
  </r>
  <r>
    <s v="4c18691b6037662be2df78a765d98ab5"/>
    <s v="sao paulo"/>
    <x v="1"/>
    <n v="3.8358208955223798"/>
    <x v="69"/>
    <n v="47"/>
    <n v="8"/>
    <n v="12"/>
    <n v="1"/>
  </r>
  <r>
    <s v="4c2b230173bb36f9b240f2b8ac11786e"/>
    <s v="sao paulo"/>
    <x v="1"/>
    <n v="3.7609329446064099"/>
    <x v="126"/>
    <n v="240"/>
    <n v="18"/>
    <n v="85"/>
    <n v="1"/>
  </r>
  <r>
    <s v="4c498c7345e89aebad651544829beca0"/>
    <s v="carapicuiba"/>
    <x v="1"/>
    <n v="4.2916666666666599"/>
    <x v="79"/>
    <n v="39"/>
    <n v="5"/>
    <n v="4"/>
    <n v="1"/>
  </r>
  <r>
    <s v="4c8b8048e33af2bf94f2eb547746a916"/>
    <s v="ibitinga"/>
    <x v="1"/>
    <n v="3.1111111111111098"/>
    <x v="34"/>
    <n v="13"/>
    <n v="3"/>
    <n v="11"/>
    <n v="1"/>
  </r>
  <r>
    <s v="4d6d651bd7684af3fffabd5f08d12e5a"/>
    <s v="jau"/>
    <x v="1"/>
    <n v="4.1767676767676702"/>
    <x v="127"/>
    <n v="321"/>
    <n v="24"/>
    <n v="51"/>
    <n v="1"/>
  </r>
  <r>
    <s v="4da0e408c99d2fdc2126dc9fce518060"/>
    <s v="cornelio procopio"/>
    <x v="2"/>
    <n v="4.5"/>
    <x v="22"/>
    <n v="55"/>
    <n v="1"/>
    <n v="4"/>
    <n v="1"/>
  </r>
  <r>
    <s v="4e06067cc08b3f41d837768d392c3ee3"/>
    <s v="betim"/>
    <x v="4"/>
    <n v="4.1739130434782599"/>
    <x v="90"/>
    <n v="35"/>
    <n v="2"/>
    <n v="9"/>
    <n v="1"/>
  </r>
  <r>
    <s v="4e17c65a516f69d023a2ae78b84f28d6"/>
    <s v="suzano"/>
    <x v="1"/>
    <n v="4.0810810810810798"/>
    <x v="43"/>
    <n v="55"/>
    <n v="4"/>
    <n v="15"/>
    <n v="1"/>
  </r>
  <r>
    <s v="4e5725ba188db8252977a4f0227bd462"/>
    <s v="ribeirao preto"/>
    <x v="1"/>
    <n v="3.44"/>
    <x v="46"/>
    <n v="15"/>
    <n v="1"/>
    <n v="9"/>
    <n v="1"/>
  </r>
  <r>
    <s v="4e7c18b98d84e05cbae3ff0ff03846c2"/>
    <s v="jaboticabal"/>
    <x v="1"/>
    <n v="4.1444444444444404"/>
    <x v="14"/>
    <n v="70"/>
    <n v="3"/>
    <n v="17"/>
    <n v="1"/>
  </r>
  <r>
    <s v="4e922959ae960d389249c378d1c939f5"/>
    <s v="jacarei"/>
    <x v="1"/>
    <n v="3.89532293986636"/>
    <x v="128"/>
    <n v="327"/>
    <n v="31"/>
    <n v="91"/>
    <n v="1"/>
  </r>
  <r>
    <s v="4ebdc7e6cd6102a022dadc49156d4ea8"/>
    <s v="sao paulo"/>
    <x v="1"/>
    <n v="3.7878787878787801"/>
    <x v="74"/>
    <n v="24"/>
    <n v="2"/>
    <n v="7"/>
    <n v="1"/>
  </r>
  <r>
    <s v="5011f0d93373a4c5753adf58ca77af8d"/>
    <s v="santos"/>
    <x v="1"/>
    <n v="3.5454545454545401"/>
    <x v="18"/>
    <n v="12"/>
    <n v="5"/>
    <n v="5"/>
    <n v="1"/>
  </r>
  <r>
    <s v="503c1de08ae81a2d86f17951b204db55"/>
    <s v="sao paulo"/>
    <x v="1"/>
    <n v="4.4090909090909003"/>
    <x v="18"/>
    <n v="18"/>
    <n v="3"/>
    <n v="1"/>
    <n v="1"/>
  </r>
  <r>
    <s v="5058e8c1e82653974541e83690655b4a"/>
    <s v="itaquaquecetuba"/>
    <x v="1"/>
    <n v="3.07894736842105"/>
    <x v="129"/>
    <n v="33"/>
    <n v="15"/>
    <n v="28"/>
    <n v="1"/>
  </r>
  <r>
    <s v="50c9975695009e5e6473912e83a6d1da"/>
    <s v="claudio"/>
    <x v="4"/>
    <n v="3.98507462686567"/>
    <x v="69"/>
    <n v="49"/>
    <n v="7"/>
    <n v="11"/>
    <n v="1"/>
  </r>
  <r>
    <s v="5160d23075764e18e07c1f4a87fad743"/>
    <s v="sao bernardo do campo"/>
    <x v="1"/>
    <n v="4.4615384615384599"/>
    <x v="6"/>
    <n v="34"/>
    <n v="2"/>
    <n v="3"/>
    <n v="1"/>
  </r>
  <r>
    <s v="516e7738bd8f735ac19a010ee5450d8d"/>
    <s v="rio de janeiro"/>
    <x v="5"/>
    <n v="4.5476190476190403"/>
    <x v="130"/>
    <n v="76"/>
    <n v="4"/>
    <n v="4"/>
    <n v="1"/>
  </r>
  <r>
    <s v="520b493b57809f446cb0a233bb3e25c7"/>
    <s v="santos"/>
    <x v="1"/>
    <n v="4.3783783783783701"/>
    <x v="43"/>
    <n v="63"/>
    <n v="5"/>
    <n v="6"/>
    <n v="1"/>
  </r>
  <r>
    <s v="522620dcb18a6b31cd7bdf73665113a9"/>
    <s v="cascavel"/>
    <x v="2"/>
    <n v="3.8977272727272698"/>
    <x v="131"/>
    <n v="127"/>
    <n v="15"/>
    <n v="34"/>
    <n v="1"/>
  </r>
  <r>
    <s v="527801b552d0077ffd170872eb49683b"/>
    <s v="garca"/>
    <x v="1"/>
    <n v="4.48351648351648"/>
    <x v="121"/>
    <n v="80"/>
    <n v="4"/>
    <n v="7"/>
    <n v="1"/>
  </r>
  <r>
    <s v="52d76513f0c4d97f3b99570e2c94ee31"/>
    <s v="novo hamburgo"/>
    <x v="6"/>
    <n v="3.88"/>
    <x v="46"/>
    <n v="15"/>
    <n v="7"/>
    <n v="3"/>
    <n v="1"/>
  </r>
  <r>
    <s v="52f0fe436a347ddad7ed5f9aa4e27eaa"/>
    <s v="sao paulo"/>
    <x v="1"/>
    <n v="3.3043478260869499"/>
    <x v="31"/>
    <n v="13"/>
    <n v="2"/>
    <n v="8"/>
    <n v="1"/>
  </r>
  <r>
    <s v="52f9db5cfb423382a2fa5c9e39303202"/>
    <s v="echapora"/>
    <x v="1"/>
    <n v="4.1739130434782599"/>
    <x v="31"/>
    <n v="19"/>
    <n v="1"/>
    <n v="3"/>
    <n v="1"/>
  </r>
  <r>
    <s v="530ec6109d11eaaf87999465c6afee01"/>
    <s v="cascavel"/>
    <x v="2"/>
    <n v="4.2211538461538396"/>
    <x v="132"/>
    <n v="85"/>
    <n v="7"/>
    <n v="12"/>
    <n v="1"/>
  </r>
  <r>
    <s v="53243585a1d6dc2643021fd1853d8905"/>
    <s v="lauro de freitas"/>
    <x v="12"/>
    <n v="4.0759803921568603"/>
    <x v="133"/>
    <n v="321"/>
    <n v="36"/>
    <n v="51"/>
    <n v="1"/>
  </r>
  <r>
    <s v="5343d0649eca2a983820bfe93fc4d17e"/>
    <s v="santo andre"/>
    <x v="1"/>
    <n v="3.61467889908256"/>
    <x v="134"/>
    <n v="66"/>
    <n v="11"/>
    <n v="32"/>
    <n v="1"/>
  </r>
  <r>
    <s v="537eb890efff034a88679788b647c564"/>
    <s v="rio de janeiro"/>
    <x v="5"/>
    <n v="4.1666666666666599"/>
    <x v="135"/>
    <n v="137"/>
    <n v="19"/>
    <n v="18"/>
    <n v="1"/>
  </r>
  <r>
    <s v="53e4c6e0f4312d4d2107a8c9cddf45cd"/>
    <s v="pedreira"/>
    <x v="1"/>
    <n v="4.0458891013384299"/>
    <x v="136"/>
    <n v="389"/>
    <n v="53"/>
    <n v="81"/>
    <n v="1"/>
  </r>
  <r>
    <s v="542917da124346b47ea1ac79a93ce454"/>
    <s v="curitiba"/>
    <x v="2"/>
    <n v="4.1904761904761898"/>
    <x v="33"/>
    <n v="17"/>
    <n v="1"/>
    <n v="3"/>
    <n v="1"/>
  </r>
  <r>
    <s v="54965bbe3e4f07ae045b90b0b8541f52"/>
    <s v="foz do iguacu"/>
    <x v="2"/>
    <n v="2.93827160493827"/>
    <x v="137"/>
    <n v="38"/>
    <n v="6"/>
    <n v="37"/>
    <n v="1"/>
  </r>
  <r>
    <s v="54a1852d1b8f10312c55e906355666ee"/>
    <s v="santa barbara d'oeste"/>
    <x v="1"/>
    <n v="4.3431372549019596"/>
    <x v="138"/>
    <n v="173"/>
    <n v="13"/>
    <n v="18"/>
    <n v="1"/>
  </r>
  <r>
    <s v="55a5b51f93f2b70ea513f5a047b0262a"/>
    <s v="sao joao del rei"/>
    <x v="4"/>
    <n v="4.48780487804878"/>
    <x v="45"/>
    <n v="35"/>
    <n v="4"/>
    <n v="2"/>
    <n v="1"/>
  </r>
  <r>
    <s v="55d3daac7c404d59e51c2aa2f4dc5a23"/>
    <s v="sao paulo"/>
    <x v="1"/>
    <n v="3.9285714285714199"/>
    <x v="16"/>
    <n v="20"/>
    <n v="4"/>
    <n v="4"/>
    <n v="1"/>
  </r>
  <r>
    <s v="55f7a3319d80f7fdf078b8f03e6725fe"/>
    <s v="osasco"/>
    <x v="1"/>
    <n v="3.7727272727272698"/>
    <x v="18"/>
    <n v="15"/>
    <n v="3"/>
    <n v="4"/>
    <n v="1"/>
  </r>
  <r>
    <s v="562fc2f2c2863ab7e79a9e4388a58a14"/>
    <s v="campinas"/>
    <x v="1"/>
    <n v="4.2350746268656696"/>
    <x v="139"/>
    <n v="218"/>
    <n v="24"/>
    <n v="26"/>
    <n v="1"/>
  </r>
  <r>
    <s v="5656537e588803a555b8eb41f07a944b"/>
    <s v="brasilia"/>
    <x v="10"/>
    <n v="3.8042328042328002"/>
    <x v="140"/>
    <n v="133"/>
    <n v="16"/>
    <n v="40"/>
    <n v="1"/>
  </r>
  <r>
    <s v="56642bcb79900e777d68e91915cb4267"/>
    <s v="sao paulo"/>
    <x v="1"/>
    <n v="3.7678571428571401"/>
    <x v="1"/>
    <n v="38"/>
    <n v="6"/>
    <n v="12"/>
    <n v="1"/>
  </r>
  <r>
    <s v="5670f4db5b62c43d542e1b2d56b0cf7c"/>
    <s v="sao paulo"/>
    <x v="1"/>
    <n v="4.4090909090909003"/>
    <x v="18"/>
    <n v="19"/>
    <n v="1"/>
    <n v="2"/>
    <n v="1"/>
  </r>
  <r>
    <s v="575df70bde3f9f2b30bf8d2e9910d725"/>
    <s v="sao jose do rio preto"/>
    <x v="1"/>
    <n v="4.1176470588235201"/>
    <x v="71"/>
    <n v="27"/>
    <n v="2"/>
    <n v="5"/>
    <n v="1"/>
  </r>
  <r>
    <s v="57c764b4a836300be881e2ff86e449f9"/>
    <s v="ribeirao preto"/>
    <x v="1"/>
    <n v="4.1724137931034404"/>
    <x v="83"/>
    <n v="24"/>
    <n v="1"/>
    <n v="4"/>
    <n v="1"/>
  </r>
  <r>
    <s v="57e632711dec9ec14ca7546769483e7e"/>
    <s v="navegantes"/>
    <x v="3"/>
    <n v="4.4242424242424203"/>
    <x v="7"/>
    <n v="56"/>
    <n v="7"/>
    <n v="3"/>
    <n v="1"/>
  </r>
  <r>
    <s v="582d4f8675b945722eda7c0cb61ba4c7"/>
    <s v="bertioga"/>
    <x v="1"/>
    <n v="4.11267605633802"/>
    <x v="141"/>
    <n v="53"/>
    <n v="9"/>
    <n v="9"/>
    <n v="1"/>
  </r>
  <r>
    <s v="58f1a6197ed863543e0136bdedb3fce2"/>
    <s v="conselheiro lafaiete"/>
    <x v="4"/>
    <n v="4.1555555555555497"/>
    <x v="101"/>
    <n v="35"/>
    <n v="4"/>
    <n v="6"/>
    <n v="1"/>
  </r>
  <r>
    <s v="594f9aaa48e5bf431f011ddc5669b0d5"/>
    <s v="contagem"/>
    <x v="4"/>
    <n v="4.5789473684210504"/>
    <x v="28"/>
    <n v="36"/>
    <n v="1"/>
    <n v="1"/>
    <n v="1"/>
  </r>
  <r>
    <s v="59b22a78efb79a4797979612b885db36"/>
    <s v="uberlandia"/>
    <x v="4"/>
    <n v="3.96969696969696"/>
    <x v="142"/>
    <n v="98"/>
    <n v="7"/>
    <n v="27"/>
    <n v="1"/>
  </r>
  <r>
    <s v="59fb871bf6f4522a87ba567b42dafecf"/>
    <s v="sao paulo"/>
    <x v="1"/>
    <n v="4.21875"/>
    <x v="143"/>
    <n v="104"/>
    <n v="12"/>
    <n v="12"/>
    <n v="1"/>
  </r>
  <r>
    <s v="5a8e7d5003a1f221f9e1d6e411de7c23"/>
    <s v="campinas"/>
    <x v="1"/>
    <n v="4.1722222222222198"/>
    <x v="41"/>
    <n v="139"/>
    <n v="20"/>
    <n v="21"/>
    <n v="1"/>
  </r>
  <r>
    <s v="5a93f3ab0ef4c84ed5e1b5dbf23978bc"/>
    <s v="monteiro lobato"/>
    <x v="1"/>
    <n v="4.7272727272727204"/>
    <x v="78"/>
    <n v="42"/>
    <n v="0"/>
    <n v="2"/>
    <n v="1"/>
  </r>
  <r>
    <s v="5b179e9e8cc7ab6fd113a46ca584da81"/>
    <s v="sao paulo"/>
    <x v="1"/>
    <n v="3.5142857142857098"/>
    <x v="55"/>
    <n v="20"/>
    <n v="6"/>
    <n v="9"/>
    <n v="1"/>
  </r>
  <r>
    <s v="5b664594895aefb418afaee6d40a9a23"/>
    <s v="petropolis"/>
    <x v="5"/>
    <n v="3.63636363636363"/>
    <x v="18"/>
    <n v="16"/>
    <n v="0"/>
    <n v="6"/>
    <n v="1"/>
  </r>
  <r>
    <s v="5b67882648febfb6e1225e6ad7164f6b"/>
    <s v="umuarama"/>
    <x v="2"/>
    <n v="4.0333333333333297"/>
    <x v="11"/>
    <n v="21"/>
    <n v="5"/>
    <n v="4"/>
    <n v="1"/>
  </r>
  <r>
    <s v="5b8154610ebb21fb90eb587365e673df"/>
    <s v="sao jose dos campos"/>
    <x v="1"/>
    <n v="4.1951219512195097"/>
    <x v="45"/>
    <n v="34"/>
    <n v="2"/>
    <n v="5"/>
    <n v="1"/>
  </r>
  <r>
    <s v="5b925e1d006e9476d738aa200751b73b"/>
    <s v="sao paulo"/>
    <x v="1"/>
    <n v="4.6060606060606002"/>
    <x v="7"/>
    <n v="62"/>
    <n v="1"/>
    <n v="3"/>
    <n v="1"/>
  </r>
  <r>
    <s v="5bc55dbe2f12b6af6d83ed46023e0dc8"/>
    <s v="coronel fabriciano"/>
    <x v="4"/>
    <n v="2.3333333333333299"/>
    <x v="33"/>
    <n v="4"/>
    <n v="5"/>
    <n v="12"/>
    <n v="1"/>
  </r>
  <r>
    <s v="5bffbafbb22daf6d3bfc216a46db8708"/>
    <s v="nilopolis"/>
    <x v="5"/>
    <n v="4.6956521739130404"/>
    <x v="31"/>
    <n v="21"/>
    <n v="2"/>
    <n v="0"/>
    <n v="1"/>
  </r>
  <r>
    <s v="5c243662ce92d84573bfaff24c3e3700"/>
    <s v="sao paulo"/>
    <x v="1"/>
    <n v="4.13"/>
    <x v="111"/>
    <n v="76"/>
    <n v="13"/>
    <n v="11"/>
    <n v="1"/>
  </r>
  <r>
    <s v="5c6d4016c2a288f074fa0848a2b653d2"/>
    <s v="sao paulo"/>
    <x v="1"/>
    <n v="4.1142857142857103"/>
    <x v="55"/>
    <n v="28"/>
    <n v="2"/>
    <n v="5"/>
    <n v="1"/>
  </r>
  <r>
    <s v="5c853bb56f70f4d14218944bae111d7a"/>
    <s v="cotia"/>
    <x v="1"/>
    <n v="4.0416666666666599"/>
    <x v="10"/>
    <n v="19"/>
    <n v="0"/>
    <n v="5"/>
    <n v="1"/>
  </r>
  <r>
    <s v="5cbbd5a299cab112b7bf23862255e43e"/>
    <s v="pinhais"/>
    <x v="2"/>
    <n v="4.3157894736842097"/>
    <x v="28"/>
    <n v="30"/>
    <n v="4"/>
    <n v="4"/>
    <n v="1"/>
  </r>
  <r>
    <s v="5cf13accae3222c70a9cac40818ae839"/>
    <s v="patos de minas"/>
    <x v="4"/>
    <n v="4.4387096774193502"/>
    <x v="144"/>
    <n v="135"/>
    <n v="7"/>
    <n v="13"/>
    <n v="1"/>
  </r>
  <r>
    <s v="5d0363b33554b373851fc1622e4d5f3c"/>
    <s v="atibaia"/>
    <x v="1"/>
    <n v="4.0526315789473601"/>
    <x v="145"/>
    <n v="73"/>
    <n v="10"/>
    <n v="12"/>
    <n v="1"/>
  </r>
  <r>
    <s v="5d3bb11474a06bdc23fb9e89f1164ee0"/>
    <s v="assis"/>
    <x v="1"/>
    <n v="3.9375"/>
    <x v="52"/>
    <n v="23"/>
    <n v="4"/>
    <n v="5"/>
    <n v="1"/>
  </r>
  <r>
    <s v="5dceca129747e92ff8ef7a997dc4f8ca"/>
    <s v="santa barbara d oeste"/>
    <x v="1"/>
    <n v="3.9912280701754299"/>
    <x v="146"/>
    <n v="255"/>
    <n v="20"/>
    <n v="67"/>
    <n v="1"/>
  </r>
  <r>
    <s v="5debea795b07621e1f90532e18f96145"/>
    <s v="apucarana"/>
    <x v="2"/>
    <n v="4.2727272727272698"/>
    <x v="74"/>
    <n v="24"/>
    <n v="6"/>
    <n v="3"/>
    <n v="1"/>
  </r>
  <r>
    <s v="5f1dc28029d2c244352a68107ec2b542"/>
    <s v="sao paulo"/>
    <x v="1"/>
    <n v="4.4285714285714199"/>
    <x v="37"/>
    <n v="68"/>
    <n v="3"/>
    <n v="6"/>
    <n v="1"/>
  </r>
  <r>
    <s v="5f2684dab12e59f83bef73ae57724e45"/>
    <s v="sao paulo"/>
    <x v="1"/>
    <n v="3.7702702702702702"/>
    <x v="43"/>
    <n v="52"/>
    <n v="4"/>
    <n v="18"/>
    <n v="1"/>
  </r>
  <r>
    <s v="5f3ae9136c875522250f8184f253413a"/>
    <s v="sao paulo"/>
    <x v="1"/>
    <n v="4.5777777777777704"/>
    <x v="101"/>
    <n v="39"/>
    <n v="5"/>
    <n v="1"/>
    <n v="1"/>
  </r>
  <r>
    <s v="5f5b43b2bffa8656e4bc6efeb13cc649"/>
    <s v="sao paulo"/>
    <x v="1"/>
    <n v="4.44827586206896"/>
    <x v="83"/>
    <n v="26"/>
    <n v="1"/>
    <n v="2"/>
    <n v="1"/>
  </r>
  <r>
    <s v="602044f2c16190c2c6e45eb35c2e21cb"/>
    <s v="ibitinga"/>
    <x v="1"/>
    <n v="2.9322033898305002"/>
    <x v="42"/>
    <n v="26"/>
    <n v="6"/>
    <n v="27"/>
    <n v="1"/>
  </r>
  <r>
    <s v="6039e27294dc75811c0d8a39069f52c0"/>
    <s v="osasco"/>
    <x v="1"/>
    <n v="3.8421052631578898"/>
    <x v="129"/>
    <n v="50"/>
    <n v="12"/>
    <n v="14"/>
    <n v="1"/>
  </r>
  <r>
    <s v="6061155addc1e54b4cfb51c1c2a32ad8"/>
    <s v="campinas"/>
    <x v="1"/>
    <n v="4.71428571428571"/>
    <x v="55"/>
    <n v="34"/>
    <n v="0"/>
    <n v="1"/>
    <n v="1"/>
  </r>
  <r>
    <s v="609e1a9a6c2539919b8205cf7c4e6ff0"/>
    <s v="brusque"/>
    <x v="3"/>
    <n v="3.5983606557377001"/>
    <x v="147"/>
    <n v="79"/>
    <n v="11"/>
    <n v="32"/>
    <n v="1"/>
  </r>
  <r>
    <s v="612170e34b97004b3ba37eae81836b4c"/>
    <s v="novo hamburgo"/>
    <x v="6"/>
    <n v="4.4272727272727197"/>
    <x v="96"/>
    <n v="94"/>
    <n v="8"/>
    <n v="8"/>
    <n v="1"/>
  </r>
  <r>
    <s v="620c87c171fb2a6dd6e8bb4dec959fc6"/>
    <s v="petropolis"/>
    <x v="5"/>
    <n v="4.21518987341772"/>
    <x v="148"/>
    <n v="632"/>
    <n v="49"/>
    <n v="109"/>
    <n v="1"/>
  </r>
  <r>
    <s v="624f4ece8da4aafb77699233d480f8ef"/>
    <s v="sao paulo"/>
    <x v="1"/>
    <n v="4.1851851851851798"/>
    <x v="25"/>
    <n v="41"/>
    <n v="6"/>
    <n v="7"/>
    <n v="1"/>
  </r>
  <r>
    <s v="6288c69c4ce638e59925e59193f98b16"/>
    <s v="santo andre"/>
    <x v="1"/>
    <n v="3.9545454545454501"/>
    <x v="18"/>
    <n v="17"/>
    <n v="2"/>
    <n v="3"/>
    <n v="1"/>
  </r>
  <r>
    <s v="6338ea67c41078a46ad99cc009654956"/>
    <s v="farroupilha"/>
    <x v="6"/>
    <n v="4.6097560975609699"/>
    <x v="45"/>
    <n v="39"/>
    <n v="0"/>
    <n v="2"/>
    <n v="1"/>
  </r>
  <r>
    <s v="634964b17796e64304cadf1ad3050fb7"/>
    <s v="rio de janeiro"/>
    <x v="5"/>
    <n v="3.8584615384615302"/>
    <x v="149"/>
    <n v="229"/>
    <n v="33"/>
    <n v="63"/>
    <n v="1"/>
  </r>
  <r>
    <s v="638cba8be1fb599bbb76fd6948351eb3"/>
    <s v="sao jose dos campos"/>
    <x v="1"/>
    <n v="4.62962962962962"/>
    <x v="34"/>
    <n v="26"/>
    <n v="0"/>
    <n v="1"/>
    <n v="1"/>
  </r>
  <r>
    <s v="63b464dbf392c7b80d12d932fa7cafed"/>
    <s v="sao paulo"/>
    <x v="1"/>
    <n v="3.6923076923076898"/>
    <x v="6"/>
    <n v="26"/>
    <n v="5"/>
    <n v="8"/>
    <n v="1"/>
  </r>
  <r>
    <s v="640e21a7d01df7614a3b4923e990d40c"/>
    <s v="ibitinga"/>
    <x v="1"/>
    <n v="4.2627737226277302"/>
    <x v="102"/>
    <n v="111"/>
    <n v="14"/>
    <n v="12"/>
    <n v="1"/>
  </r>
  <r>
    <s v="6426d21aca402a131fc0a5d0960a3c90"/>
    <s v="ribeirao preto"/>
    <x v="1"/>
    <n v="4.1739130434782599"/>
    <x v="31"/>
    <n v="19"/>
    <n v="2"/>
    <n v="2"/>
    <n v="1"/>
  </r>
  <r>
    <s v="643214e62b870443ccbe55ab29a4dccf"/>
    <s v="sao paulo"/>
    <x v="1"/>
    <n v="4.4264705882352899"/>
    <x v="150"/>
    <n v="61"/>
    <n v="4"/>
    <n v="3"/>
    <n v="1"/>
  </r>
  <r>
    <s v="6481e96574816ead57975da2c0f6d80d"/>
    <s v="sorocaba"/>
    <x v="1"/>
    <n v="4.1395348837209296"/>
    <x v="12"/>
    <n v="33"/>
    <n v="6"/>
    <n v="4"/>
    <n v="1"/>
  </r>
  <r>
    <s v="6560211a19b47992c3666cc44a7e94c0"/>
    <s v="sao paulo"/>
    <x v="1"/>
    <n v="3.9094059405940502"/>
    <x v="151"/>
    <n v="1441"/>
    <n v="218"/>
    <n v="361"/>
    <n v="1"/>
  </r>
  <r>
    <s v="6562efe88ce0826a4ca4f189f03b4b84"/>
    <s v="maringa"/>
    <x v="2"/>
    <n v="4.0434782608695601"/>
    <x v="31"/>
    <n v="18"/>
    <n v="4"/>
    <n v="1"/>
    <n v="1"/>
  </r>
  <r>
    <s v="65b081a070633e057c462abdd6fb9dd8"/>
    <s v="morrinhos"/>
    <x v="9"/>
    <n v="4.3499999999999996"/>
    <x v="35"/>
    <n v="17"/>
    <n v="1"/>
    <n v="2"/>
    <n v="1"/>
  </r>
  <r>
    <s v="65febd49fd28ec955651299159b1f527"/>
    <s v="sao paulo"/>
    <x v="1"/>
    <n v="4.2249999999999996"/>
    <x v="29"/>
    <n v="31"/>
    <n v="3"/>
    <n v="6"/>
    <n v="1"/>
  </r>
  <r>
    <s v="66922902710d126a0e7d26b0e3805106"/>
    <s v="belo horizonte"/>
    <x v="4"/>
    <n v="4.4516129032257998"/>
    <x v="144"/>
    <n v="137"/>
    <n v="8"/>
    <n v="10"/>
    <n v="1"/>
  </r>
  <r>
    <s v="669ae81880e08f269a64487cfb287169"/>
    <s v="rio do sul"/>
    <x v="3"/>
    <n v="4.1016042780748601"/>
    <x v="152"/>
    <n v="149"/>
    <n v="10"/>
    <n v="28"/>
    <n v="1"/>
  </r>
  <r>
    <s v="66dc1b1632bd6a3e508510c5b3492107"/>
    <s v="jau"/>
    <x v="1"/>
    <n v="3.4285714285714199"/>
    <x v="53"/>
    <n v="26"/>
    <n v="3"/>
    <n v="13"/>
    <n v="1"/>
  </r>
  <r>
    <s v="66e0557ecc2b4dbea057e93f215f68d8"/>
    <s v="sao paulo"/>
    <x v="1"/>
    <n v="3.9354838709677402"/>
    <x v="40"/>
    <n v="22"/>
    <n v="4"/>
    <n v="5"/>
    <n v="1"/>
  </r>
  <r>
    <s v="66fd84ee7528c0c0de85d0f44a73d5ab"/>
    <s v="campina das missoes"/>
    <x v="6"/>
    <n v="2.9047619047619002"/>
    <x v="33"/>
    <n v="10"/>
    <n v="3"/>
    <n v="8"/>
    <n v="1"/>
  </r>
  <r>
    <s v="670c26e0f1bf8d0576271d5cfaec6d2b"/>
    <s v="maringa"/>
    <x v="2"/>
    <n v="4.3103448275862002"/>
    <x v="153"/>
    <n v="71"/>
    <n v="9"/>
    <n v="7"/>
    <n v="1"/>
  </r>
  <r>
    <s v="671585f5a2af58b6e276bc01003c0d2b"/>
    <s v="curitiba"/>
    <x v="2"/>
    <n v="4.7037037037036997"/>
    <x v="34"/>
    <n v="26"/>
    <n v="0"/>
    <n v="1"/>
    <n v="1"/>
  </r>
  <r>
    <s v="679769a98cfcc6da877c8486ff1c13f3"/>
    <s v="ipatinga"/>
    <x v="4"/>
    <n v="4.5714285714285703"/>
    <x v="33"/>
    <n v="19"/>
    <n v="1"/>
    <n v="1"/>
    <n v="1"/>
  </r>
  <r>
    <s v="67bf6941ba2f1fa1d02c375766bc3e53"/>
    <s v="curitiba"/>
    <x v="2"/>
    <n v="4"/>
    <x v="18"/>
    <n v="14"/>
    <n v="5"/>
    <n v="3"/>
    <n v="1"/>
  </r>
  <r>
    <s v="681fce914360217db47784ae28905a96"/>
    <s v="araucaria"/>
    <x v="2"/>
    <n v="3.8695652173913002"/>
    <x v="31"/>
    <n v="16"/>
    <n v="1"/>
    <n v="6"/>
    <n v="1"/>
  </r>
  <r>
    <s v="6860153b69cc696d5dcfe1cdaaafcf62"/>
    <s v="capivari"/>
    <x v="1"/>
    <n v="4.1566265060240903"/>
    <x v="98"/>
    <n v="66"/>
    <n v="5"/>
    <n v="12"/>
    <n v="1"/>
  </r>
  <r>
    <s v="688756f717c462a206ad854c5027a64a"/>
    <s v="guarulhos"/>
    <x v="1"/>
    <n v="3.7676767676767602"/>
    <x v="114"/>
    <n v="71"/>
    <n v="9"/>
    <n v="19"/>
    <n v="1"/>
  </r>
  <r>
    <s v="6973a06f484aacf400ece213dbf3d946"/>
    <s v="sao jose dos campos"/>
    <x v="1"/>
    <n v="3.5258620689655098"/>
    <x v="154"/>
    <n v="67"/>
    <n v="16"/>
    <n v="33"/>
    <n v="1"/>
  </r>
  <r>
    <s v="6a0cbc8af2e8abd1bdfb777943d174c6"/>
    <s v="batatais"/>
    <x v="1"/>
    <n v="4.0588235294117601"/>
    <x v="71"/>
    <n v="26"/>
    <n v="4"/>
    <n v="4"/>
    <n v="1"/>
  </r>
  <r>
    <s v="6a38087bc8ad4f89ff453561005f6dea"/>
    <s v="anapolis"/>
    <x v="9"/>
    <n v="4.4090909090909003"/>
    <x v="18"/>
    <n v="20"/>
    <n v="2"/>
    <n v="0"/>
    <n v="1"/>
  </r>
  <r>
    <s v="6a51fc556dab5f766ced6fbc860bc613"/>
    <s v="marilia"/>
    <x v="1"/>
    <n v="3.9393939393939301"/>
    <x v="74"/>
    <n v="26"/>
    <n v="1"/>
    <n v="6"/>
    <n v="1"/>
  </r>
  <r>
    <s v="6a8a889bde935bafa76d7848782dfaf9"/>
    <s v="sao paulo"/>
    <x v="1"/>
    <n v="3.93333333333333"/>
    <x v="11"/>
    <n v="24"/>
    <n v="2"/>
    <n v="4"/>
    <n v="1"/>
  </r>
  <r>
    <s v="6a8b085f816a1f75f92dbac6eb545f8f"/>
    <s v="bebedouro"/>
    <x v="1"/>
    <n v="4.1176470588235201"/>
    <x v="48"/>
    <n v="106"/>
    <n v="14"/>
    <n v="16"/>
    <n v="1"/>
  </r>
  <r>
    <s v="6aa3928696eab49a19a466e665a649fd"/>
    <s v="nova iguacu"/>
    <x v="5"/>
    <n v="4.5454545454545396"/>
    <x v="18"/>
    <n v="19"/>
    <n v="1"/>
    <n v="2"/>
    <n v="1"/>
  </r>
  <r>
    <s v="6b15924333bd1a741595fe981ea04822"/>
    <s v="sao caetano do sul"/>
    <x v="1"/>
    <n v="4.6666666666666599"/>
    <x v="33"/>
    <n v="19"/>
    <n v="2"/>
    <n v="0"/>
    <n v="1"/>
  </r>
  <r>
    <s v="6b243f80ed07b10f0e8aa0f21a205f3c"/>
    <s v="curitiba"/>
    <x v="2"/>
    <n v="4.0224719101123503"/>
    <x v="50"/>
    <n v="68"/>
    <n v="6"/>
    <n v="15"/>
    <n v="1"/>
  </r>
  <r>
    <s v="6b3bd31ad8fcda4b2635ec9f3ff2ecdf"/>
    <s v="rio de janeiro"/>
    <x v="5"/>
    <n v="3.8604651162790602"/>
    <x v="12"/>
    <n v="32"/>
    <n v="1"/>
    <n v="10"/>
    <n v="1"/>
  </r>
  <r>
    <s v="6b536a23086fba0d58c08d68814397f6"/>
    <s v="niteroi"/>
    <x v="5"/>
    <n v="3.9130434782608599"/>
    <x v="31"/>
    <n v="18"/>
    <n v="0"/>
    <n v="5"/>
    <n v="1"/>
  </r>
  <r>
    <s v="6b90f847357d8981edd79a1eb1bf0acb"/>
    <s v="guarulhos"/>
    <x v="1"/>
    <n v="4.375"/>
    <x v="79"/>
    <n v="42"/>
    <n v="3"/>
    <n v="3"/>
    <n v="1"/>
  </r>
  <r>
    <s v="6c177e38df6d3f34182b1f1d427231bf"/>
    <s v="curitiba"/>
    <x v="2"/>
    <n v="4.0357142857142803"/>
    <x v="1"/>
    <n v="46"/>
    <n v="1"/>
    <n v="9"/>
    <n v="1"/>
  </r>
  <r>
    <s v="6c7d50c24b3ccd2fd83b44d8bb34e073"/>
    <s v="presidente prudente"/>
    <x v="1"/>
    <n v="4.38582677165354"/>
    <x v="155"/>
    <n v="112"/>
    <n v="6"/>
    <n v="9"/>
    <n v="1"/>
  </r>
  <r>
    <s v="6cd68b3ed6d59aaa9fece558ad360c0a"/>
    <s v="belo horizonte"/>
    <x v="4"/>
    <n v="4.44585987261146"/>
    <x v="156"/>
    <n v="136"/>
    <n v="15"/>
    <n v="6"/>
    <n v="1"/>
  </r>
  <r>
    <s v="6d66611d7c44cc30ce351abc49a68421"/>
    <s v="sao paulo"/>
    <x v="1"/>
    <n v="3.91379310344827"/>
    <x v="135"/>
    <n v="125"/>
    <n v="20"/>
    <n v="29"/>
    <n v="1"/>
  </r>
  <r>
    <s v="6d803cb79cc31c41c4c789a75933b3c7"/>
    <s v="sao joaquim da barra"/>
    <x v="1"/>
    <n v="4.2794117647058796"/>
    <x v="150"/>
    <n v="56"/>
    <n v="7"/>
    <n v="5"/>
    <n v="1"/>
  </r>
  <r>
    <s v="6d988d6174a2c27441597174f8905515"/>
    <s v="maringa"/>
    <x v="2"/>
    <n v="4.2608695652173898"/>
    <x v="31"/>
    <n v="19"/>
    <n v="1"/>
    <n v="3"/>
    <n v="1"/>
  </r>
  <r>
    <s v="6df688df543f90e9b38f4319e75a9d88"/>
    <s v="belo horizonte"/>
    <x v="4"/>
    <n v="4.5178571428571397"/>
    <x v="1"/>
    <n v="49"/>
    <n v="5"/>
    <n v="2"/>
    <n v="1"/>
  </r>
  <r>
    <s v="6e386f64c84e482f0b9abf960797ee1b"/>
    <s v="sao paulo"/>
    <x v="1"/>
    <n v="4.6071428571428497"/>
    <x v="16"/>
    <n v="26"/>
    <n v="1"/>
    <n v="1"/>
    <n v="1"/>
  </r>
  <r>
    <s v="6ec1a01e866584bb679eb9b098345919"/>
    <s v="santos"/>
    <x v="1"/>
    <n v="4.1333333333333302"/>
    <x v="11"/>
    <n v="23"/>
    <n v="2"/>
    <n v="5"/>
    <n v="1"/>
  </r>
  <r>
    <s v="6edacfd9f9074789dad6d62ba7950b9c"/>
    <s v="guarulhos"/>
    <x v="1"/>
    <n v="4.3607305936073004"/>
    <x v="75"/>
    <n v="184"/>
    <n v="14"/>
    <n v="21"/>
    <n v="1"/>
  </r>
  <r>
    <s v="6f892e20a171e98efe17fdb971ff319b"/>
    <s v="sao paulo"/>
    <x v="1"/>
    <n v="3.7307692307692299"/>
    <x v="47"/>
    <n v="38"/>
    <n v="2"/>
    <n v="12"/>
    <n v="1"/>
  </r>
  <r>
    <s v="6fc26fe110feebd80a433e1f012a84f9"/>
    <s v="fernandopolis"/>
    <x v="1"/>
    <n v="4.0147058823529402"/>
    <x v="150"/>
    <n v="57"/>
    <n v="2"/>
    <n v="9"/>
    <n v="1"/>
  </r>
  <r>
    <s v="6fd52c528dcb38be2eea044946b811f8"/>
    <s v="sao paulo"/>
    <x v="1"/>
    <n v="3.5"/>
    <x v="30"/>
    <n v="52"/>
    <n v="2"/>
    <n v="28"/>
    <n v="1"/>
  </r>
  <r>
    <s v="7008613ea464bad5cb9b83456e1e6a8f"/>
    <s v="canoinhas"/>
    <x v="3"/>
    <n v="4.2774193548386998"/>
    <x v="144"/>
    <n v="130"/>
    <n v="13"/>
    <n v="12"/>
    <n v="1"/>
  </r>
  <r>
    <s v="701938c450705b8ae65fc923b70f35c7"/>
    <s v="s jose do rio preto"/>
    <x v="1"/>
    <n v="3.7657657657657602"/>
    <x v="118"/>
    <n v="75"/>
    <n v="16"/>
    <n v="20"/>
    <n v="1"/>
  </r>
  <r>
    <s v="7040e82f899a04d1b434b795a43b4617"/>
    <s v="sao paulo"/>
    <x v="1"/>
    <n v="3.5288888888888801"/>
    <x v="157"/>
    <n v="139"/>
    <n v="20"/>
    <n v="66"/>
    <n v="1"/>
  </r>
  <r>
    <s v="709e16e2b25c7474d980076c6bfc4806"/>
    <s v="birigui"/>
    <x v="1"/>
    <n v="4.5250000000000004"/>
    <x v="158"/>
    <n v="70"/>
    <n v="9"/>
    <n v="1"/>
    <n v="1"/>
  </r>
  <r>
    <s v="70a12e78e608ac31179aea7f8422044b"/>
    <s v="jacarei"/>
    <x v="1"/>
    <n v="3.7699386503067398"/>
    <x v="159"/>
    <n v="215"/>
    <n v="42"/>
    <n v="69"/>
    <n v="1"/>
  </r>
  <r>
    <s v="70c27847eca8195c983ed7e798c56743"/>
    <s v="rio de janeiro"/>
    <x v="5"/>
    <n v="4.2040816326530601"/>
    <x v="160"/>
    <n v="78"/>
    <n v="2"/>
    <n v="18"/>
    <n v="1"/>
  </r>
  <r>
    <s v="70eea00b476a314817cefde4aad4f89a"/>
    <s v="itatiba"/>
    <x v="1"/>
    <n v="4.3539823008849501"/>
    <x v="161"/>
    <n v="96"/>
    <n v="7"/>
    <n v="10"/>
    <n v="1"/>
  </r>
  <r>
    <s v="71039d19d4303bf9054d69e9a9236699"/>
    <s v="sao paulo"/>
    <x v="1"/>
    <n v="3.6842105263157801"/>
    <x v="28"/>
    <n v="25"/>
    <n v="4"/>
    <n v="9"/>
    <n v="1"/>
  </r>
  <r>
    <s v="710e3548e02bc1d2831dfc4f1b5b14d4"/>
    <s v="rolandia"/>
    <x v="2"/>
    <n v="3.3971631205673698"/>
    <x v="5"/>
    <n v="84"/>
    <n v="12"/>
    <n v="45"/>
    <n v="1"/>
  </r>
  <r>
    <s v="712e6ed8aa4aa1fa65dab41fed5737e4"/>
    <s v="videira"/>
    <x v="3"/>
    <n v="3.4597701149425202"/>
    <x v="153"/>
    <n v="48"/>
    <n v="10"/>
    <n v="29"/>
    <n v="1"/>
  </r>
  <r>
    <s v="7139dc5186aa238b006e066d8fbab2e4"/>
    <s v="amparo"/>
    <x v="1"/>
    <n v="4.0869565217391299"/>
    <x v="31"/>
    <n v="17"/>
    <n v="2"/>
    <n v="4"/>
    <n v="1"/>
  </r>
  <r>
    <s v="7142540dd4c91e2237acb7e911c4eba2"/>
    <s v="penapolis"/>
    <x v="1"/>
    <n v="4.0421686746987904"/>
    <x v="162"/>
    <n v="257"/>
    <n v="28"/>
    <n v="47"/>
    <n v="1"/>
  </r>
  <r>
    <s v="715bbd5ba4e6b74cb0d2f29eb45058b0"/>
    <s v="serra negra"/>
    <x v="1"/>
    <n v="4.46875"/>
    <x v="20"/>
    <n v="57"/>
    <n v="3"/>
    <n v="4"/>
    <n v="1"/>
  </r>
  <r>
    <s v="7178f9f4dd81dcef02f62acdf8151e01"/>
    <s v="videira"/>
    <x v="3"/>
    <n v="4.0322580645161201"/>
    <x v="163"/>
    <n v="162"/>
    <n v="22"/>
    <n v="33"/>
    <n v="1"/>
  </r>
  <r>
    <s v="718539d38d07dd351c76db862760e2e2"/>
    <s v="campinas"/>
    <x v="1"/>
    <n v="4.3333333333333304"/>
    <x v="101"/>
    <n v="37"/>
    <n v="2"/>
    <n v="6"/>
    <n v="1"/>
  </r>
  <r>
    <s v="7202e2ba20579a9bd1acb29e61fe71f6"/>
    <s v="franca"/>
    <x v="1"/>
    <n v="3.8333333333333299"/>
    <x v="25"/>
    <n v="38"/>
    <n v="5"/>
    <n v="11"/>
    <n v="1"/>
  </r>
  <r>
    <s v="725c32fa80c2faacc4fc88450d27314e"/>
    <s v="sao paulo"/>
    <x v="1"/>
    <n v="4.5384615384615303"/>
    <x v="121"/>
    <n v="83"/>
    <n v="6"/>
    <n v="2"/>
    <n v="1"/>
  </r>
  <r>
    <s v="7299e27ed73d2ad986de7f7c77d919fa"/>
    <s v="araguari"/>
    <x v="4"/>
    <n v="4.4210526315789398"/>
    <x v="164"/>
    <n v="310"/>
    <n v="25"/>
    <n v="26"/>
    <n v="1"/>
  </r>
  <r>
    <s v="729b2d09b2a0bdab221076327f13d050"/>
    <s v="mineiros do tiete"/>
    <x v="1"/>
    <n v="4.5245901639344197"/>
    <x v="68"/>
    <n v="54"/>
    <n v="3"/>
    <n v="4"/>
    <n v="1"/>
  </r>
  <r>
    <s v="729f06993dac8e860d4f02d7088ca48a"/>
    <s v="limeira"/>
    <x v="1"/>
    <n v="4.2894736842105203"/>
    <x v="165"/>
    <n v="92"/>
    <n v="11"/>
    <n v="11"/>
    <n v="1"/>
  </r>
  <r>
    <s v="72c5da29406b4234927b81855e7b64f6"/>
    <s v="guarulhos"/>
    <x v="1"/>
    <n v="4.1290322580645098"/>
    <x v="40"/>
    <n v="24"/>
    <n v="3"/>
    <n v="4"/>
    <n v="1"/>
  </r>
  <r>
    <s v="730937bf88cb151eb2eb849f642fc213"/>
    <s v="rio claro"/>
    <x v="1"/>
    <n v="4.4230769230769198"/>
    <x v="3"/>
    <n v="24"/>
    <n v="0"/>
    <n v="2"/>
    <n v="1"/>
  </r>
  <r>
    <s v="73a63f72308aa20a46f4b1632018f196"/>
    <s v="curitiba"/>
    <x v="2"/>
    <n v="4.05"/>
    <x v="29"/>
    <n v="29"/>
    <n v="4"/>
    <n v="7"/>
    <n v="1"/>
  </r>
  <r>
    <s v="744dac408745240a2c2528fb1b6028f3"/>
    <s v="colombo"/>
    <x v="2"/>
    <n v="4.5476190476190403"/>
    <x v="130"/>
    <n v="75"/>
    <n v="6"/>
    <n v="3"/>
    <n v="1"/>
  </r>
  <r>
    <s v="750303a20e9c56b2a6bc45cdce0b897d"/>
    <s v="goiania"/>
    <x v="9"/>
    <n v="4.2807017543859596"/>
    <x v="117"/>
    <n v="48"/>
    <n v="3"/>
    <n v="6"/>
    <n v="1"/>
  </r>
  <r>
    <s v="751bdc4d83a466c7206cd42e8f426b03"/>
    <s v="ribeirao pires"/>
    <x v="1"/>
    <n v="3.5492957746478799"/>
    <x v="141"/>
    <n v="41"/>
    <n v="8"/>
    <n v="22"/>
    <n v="1"/>
  </r>
  <r>
    <s v="75d34ebb1bd0bd7dde40dd507b8169c3"/>
    <s v="salvador"/>
    <x v="12"/>
    <n v="3.8194444444444402"/>
    <x v="23"/>
    <n v="52"/>
    <n v="3"/>
    <n v="17"/>
    <n v="1"/>
  </r>
  <r>
    <s v="75fbb52eda0cbc24f479d3b2fbfa8d3e"/>
    <s v="goiania"/>
    <x v="9"/>
    <n v="4.4047619047618998"/>
    <x v="53"/>
    <n v="38"/>
    <n v="0"/>
    <n v="4"/>
    <n v="1"/>
  </r>
  <r>
    <s v="7681ef142fd2c19048da7430856b5588"/>
    <s v="guarulhos"/>
    <x v="1"/>
    <n v="4.1315789473684204"/>
    <x v="129"/>
    <n v="62"/>
    <n v="2"/>
    <n v="12"/>
    <n v="1"/>
  </r>
  <r>
    <s v="76d5af76d0271110f9af36c92573f765"/>
    <s v="sao paulo"/>
    <x v="1"/>
    <n v="4.0822784810126498"/>
    <x v="166"/>
    <n v="123"/>
    <n v="11"/>
    <n v="24"/>
    <n v="1"/>
  </r>
  <r>
    <s v="76d64c4aca3a7baf218bf93ef7fa768d"/>
    <s v="curitiba"/>
    <x v="2"/>
    <n v="4.1285714285714201"/>
    <x v="167"/>
    <n v="54"/>
    <n v="4"/>
    <n v="12"/>
    <n v="1"/>
  </r>
  <r>
    <s v="7722b1df1b0e383e000397b2c11e3e19"/>
    <s v="sao bernardo do campo"/>
    <x v="1"/>
    <n v="4.2222222222222197"/>
    <x v="168"/>
    <n v="116"/>
    <n v="12"/>
    <n v="16"/>
    <n v="1"/>
  </r>
  <r>
    <s v="77530e9772f57a62c906e1c21538ab82"/>
    <s v="curitiba"/>
    <x v="2"/>
    <n v="4.0538461538461501"/>
    <x v="169"/>
    <n v="300"/>
    <n v="22"/>
    <n v="68"/>
    <n v="1"/>
  </r>
  <r>
    <s v="77a515caa36327151d1cc6c32a9f00e1"/>
    <s v="diadema"/>
    <x v="1"/>
    <n v="4.4230769230769198"/>
    <x v="3"/>
    <n v="22"/>
    <n v="2"/>
    <n v="2"/>
    <n v="1"/>
  </r>
  <r>
    <s v="784ba75dd9d20200c4caed3d7a77141a"/>
    <s v="sao paulo"/>
    <x v="1"/>
    <n v="3.64"/>
    <x v="46"/>
    <n v="18"/>
    <n v="0"/>
    <n v="7"/>
    <n v="1"/>
  </r>
  <r>
    <s v="78c99c6dff4eeae5be99bf635ed21e3f"/>
    <s v="marilia"/>
    <x v="1"/>
    <n v="4.3333333333333304"/>
    <x v="6"/>
    <n v="33"/>
    <n v="2"/>
    <n v="4"/>
    <n v="1"/>
  </r>
  <r>
    <s v="7901646fdd36a55f564ffaf2dbccaaf7"/>
    <s v="rio de janeiro"/>
    <x v="5"/>
    <n v="4.4444444444444402"/>
    <x v="34"/>
    <n v="24"/>
    <n v="0"/>
    <n v="3"/>
    <n v="1"/>
  </r>
  <r>
    <s v="79ebd9a61bac3eaf882805ed4ecfa12a"/>
    <s v="cascavel"/>
    <x v="2"/>
    <n v="4.0068965517241297"/>
    <x v="170"/>
    <n v="110"/>
    <n v="14"/>
    <n v="21"/>
    <n v="1"/>
  </r>
  <r>
    <s v="79ed755314cfe6df0daef2c6cd3022cd"/>
    <s v="rio claro"/>
    <x v="1"/>
    <n v="4.6956521739130404"/>
    <x v="31"/>
    <n v="21"/>
    <n v="2"/>
    <n v="0"/>
    <n v="1"/>
  </r>
  <r>
    <s v="7a241947449cc45dbfda4f9d0798d9d0"/>
    <s v="jacutinga"/>
    <x v="4"/>
    <n v="3.57746478873239"/>
    <x v="141"/>
    <n v="44"/>
    <n v="8"/>
    <n v="19"/>
    <n v="1"/>
  </r>
  <r>
    <s v="7a67c85e85bb2ce8582c35f2203ad736"/>
    <s v="sao paulo"/>
    <x v="1"/>
    <n v="4.2349914236706603"/>
    <x v="171"/>
    <n v="940"/>
    <n v="99"/>
    <n v="127"/>
    <n v="1"/>
  </r>
  <r>
    <s v="7aa4334be125fcdd2ba64b3180029f14"/>
    <s v="laranjal paulista"/>
    <x v="1"/>
    <n v="4.0546218487394903"/>
    <x v="107"/>
    <n v="184"/>
    <n v="15"/>
    <n v="39"/>
    <n v="1"/>
  </r>
  <r>
    <s v="7ad32824caee82087b3e2e5f33b1bf32"/>
    <s v="ibitinga"/>
    <x v="1"/>
    <n v="3.7679558011049701"/>
    <x v="172"/>
    <n v="116"/>
    <n v="27"/>
    <n v="38"/>
    <n v="1"/>
  </r>
  <r>
    <s v="7ade73f1b9b4e965f9009a4c3a7e2c15"/>
    <s v="bauru"/>
    <x v="1"/>
    <n v="4.7777777777777697"/>
    <x v="34"/>
    <n v="25"/>
    <n v="2"/>
    <n v="0"/>
    <n v="1"/>
  </r>
  <r>
    <s v="7b07b3c7487f0ea825fc6df75abd658b"/>
    <s v="sao paulo"/>
    <x v="1"/>
    <n v="4.33673469387755"/>
    <x v="160"/>
    <n v="81"/>
    <n v="5"/>
    <n v="12"/>
    <n v="1"/>
  </r>
  <r>
    <s v="7b0df942f46435babab05d49b744b2c4"/>
    <s v="braganca paulista"/>
    <x v="1"/>
    <n v="4.38709677419354"/>
    <x v="40"/>
    <n v="27"/>
    <n v="2"/>
    <n v="2"/>
    <n v="1"/>
  </r>
  <r>
    <s v="7b1222c3624aa89b9558b50a2594188c"/>
    <s v="sao jose do rio preto"/>
    <x v="1"/>
    <n v="4.4545454545454497"/>
    <x v="18"/>
    <n v="19"/>
    <n v="1"/>
    <n v="2"/>
    <n v="1"/>
  </r>
  <r>
    <s v="7c5b05cbdb5542049f38d90d7815b97d"/>
    <s v="sao paulo"/>
    <x v="1"/>
    <n v="4.4166666666666599"/>
    <x v="10"/>
    <n v="21"/>
    <n v="0"/>
    <n v="3"/>
    <n v="1"/>
  </r>
  <r>
    <s v="7c67e1448b00f6e969d365cea6b010ab"/>
    <s v="itaquaquecetuba"/>
    <x v="1"/>
    <n v="3.3482077542062898"/>
    <x v="173"/>
    <n v="764"/>
    <n v="201"/>
    <n v="402"/>
    <n v="1"/>
  </r>
  <r>
    <s v="7d13fca15225358621be4086e1eb0964"/>
    <s v="ribeirao preto"/>
    <x v="1"/>
    <n v="4.0017421602787397"/>
    <x v="174"/>
    <n v="432"/>
    <n v="39"/>
    <n v="103"/>
    <n v="1"/>
  </r>
  <r>
    <s v="7d456afc660226829370f3173d14520c"/>
    <s v="mogi das cruzes"/>
    <x v="1"/>
    <n v="4.2903225806451601"/>
    <x v="27"/>
    <n v="81"/>
    <n v="3"/>
    <n v="9"/>
    <n v="1"/>
  </r>
  <r>
    <s v="7d76b645482be4a332374e8223836592"/>
    <s v="sao paulo"/>
    <x v="1"/>
    <n v="3.9297297297297198"/>
    <x v="175"/>
    <n v="132"/>
    <n v="24"/>
    <n v="29"/>
    <n v="1"/>
  </r>
  <r>
    <s v="7dc8c42cc750eeafea6c85712ffee9bf"/>
    <s v="sao paulo"/>
    <x v="1"/>
    <n v="4.26"/>
    <x v="15"/>
    <n v="42"/>
    <n v="2"/>
    <n v="6"/>
    <n v="1"/>
  </r>
  <r>
    <s v="7ddcbb64b5bc1ef36ca8c151f6ec77df"/>
    <s v="sao paulo"/>
    <x v="1"/>
    <n v="3.9032258064516099"/>
    <x v="176"/>
    <n v="241"/>
    <n v="37"/>
    <n v="63"/>
    <n v="1"/>
  </r>
  <r>
    <s v="7e1fb0a3ebfb01ffb3a7dae98bf3238d"/>
    <s v="franca"/>
    <x v="1"/>
    <n v="4.1337209302325499"/>
    <x v="4"/>
    <n v="134"/>
    <n v="17"/>
    <n v="21"/>
    <n v="1"/>
  </r>
  <r>
    <s v="7e26c750b4cb9f6766f58265ff9ebe95"/>
    <s v="belo horizonte"/>
    <x v="4"/>
    <n v="4.4074074074074003"/>
    <x v="34"/>
    <n v="24"/>
    <n v="2"/>
    <n v="1"/>
    <n v="1"/>
  </r>
  <r>
    <s v="7e3f87d16fb353f408d467e74fbd8014"/>
    <s v="sao paulo"/>
    <x v="1"/>
    <n v="4.1276595744680797"/>
    <x v="13"/>
    <n v="73"/>
    <n v="10"/>
    <n v="11"/>
    <n v="1"/>
  </r>
  <r>
    <s v="7e93a43ef30c4f03f38b393420bc753a"/>
    <s v="barueri"/>
    <x v="1"/>
    <n v="4.2064896755162202"/>
    <x v="177"/>
    <n v="272"/>
    <n v="26"/>
    <n v="41"/>
    <n v="1"/>
  </r>
  <r>
    <s v="7ea5bfa6c340f58f8e71fc1f0412b0d6"/>
    <s v="belo horizonte"/>
    <x v="4"/>
    <n v="4.0776699029126204"/>
    <x v="59"/>
    <n v="81"/>
    <n v="9"/>
    <n v="13"/>
    <n v="1"/>
  </r>
  <r>
    <s v="7ecd59e5e20407131822c1a68ac59c1f"/>
    <s v="brasilia"/>
    <x v="10"/>
    <n v="4.4827586206896504"/>
    <x v="83"/>
    <n v="26"/>
    <n v="1"/>
    <n v="2"/>
    <n v="1"/>
  </r>
  <r>
    <s v="7f152321c60a266edc53af1925ef96c1"/>
    <s v="criciuma"/>
    <x v="3"/>
    <n v="3.8"/>
    <x v="35"/>
    <n v="13"/>
    <n v="2"/>
    <n v="5"/>
    <n v="1"/>
  </r>
  <r>
    <s v="7f2617c58d5d06806987308b45654351"/>
    <s v="sao paulo"/>
    <x v="1"/>
    <n v="3.8695652173913002"/>
    <x v="31"/>
    <n v="16"/>
    <n v="4"/>
    <n v="3"/>
    <n v="1"/>
  </r>
  <r>
    <s v="7f7b8245c336066a1f9933c359f11d77"/>
    <s v="mogi mirim"/>
    <x v="1"/>
    <n v="4.5581395348837201"/>
    <x v="12"/>
    <n v="40"/>
    <n v="0"/>
    <n v="3"/>
    <n v="1"/>
  </r>
  <r>
    <s v="808d4348b916efa08e766ebad39f61eb"/>
    <s v="sao paulo"/>
    <x v="1"/>
    <n v="4.4285714285714199"/>
    <x v="33"/>
    <n v="19"/>
    <n v="0"/>
    <n v="2"/>
    <n v="1"/>
  </r>
  <r>
    <s v="8090490573c6c0aa343a7231ebcb8c86"/>
    <s v="sao paulo - sp"/>
    <x v="1"/>
    <n v="4.1923076923076898"/>
    <x v="3"/>
    <n v="20"/>
    <n v="3"/>
    <n v="3"/>
    <n v="1"/>
  </r>
  <r>
    <s v="80e6699fe29150b372a0c8a1ebf7dcc8"/>
    <s v="pinhais"/>
    <x v="2"/>
    <n v="4.2929292929292897"/>
    <x v="114"/>
    <n v="85"/>
    <n v="4"/>
    <n v="10"/>
    <n v="1"/>
  </r>
  <r>
    <s v="813348c996469b40f2e028d5429d3495"/>
    <s v="jundiai"/>
    <x v="1"/>
    <n v="4"/>
    <x v="178"/>
    <n v="143"/>
    <n v="22"/>
    <n v="33"/>
    <n v="1"/>
  </r>
  <r>
    <s v="8160255418d5aaa7dbdc9f4c64ebda44"/>
    <s v="ibitinga"/>
    <x v="1"/>
    <n v="3.8391608391608298"/>
    <x v="87"/>
    <n v="309"/>
    <n v="34"/>
    <n v="86"/>
    <n v="1"/>
  </r>
  <r>
    <s v="817245bcc3badd82bbd222e0366951a6"/>
    <s v="bauru"/>
    <x v="1"/>
    <n v="4.07317073170731"/>
    <x v="45"/>
    <n v="33"/>
    <n v="4"/>
    <n v="4"/>
    <n v="1"/>
  </r>
  <r>
    <s v="81a1104df0f08b59c68aa5b03cfe398e"/>
    <s v="sao jose dos pinhais"/>
    <x v="2"/>
    <n v="4.2676056338028099"/>
    <x v="141"/>
    <n v="58"/>
    <n v="7"/>
    <n v="6"/>
    <n v="1"/>
  </r>
  <r>
    <s v="81f89e42267213cb94da7ddc301651da"/>
    <s v="presidente prudente"/>
    <x v="1"/>
    <n v="3.5384615384615299"/>
    <x v="47"/>
    <n v="36"/>
    <n v="3"/>
    <n v="13"/>
    <n v="1"/>
  </r>
  <r>
    <s v="821fb029fc6e495ca4f08a35d51e53a5"/>
    <s v="sao paulo"/>
    <x v="1"/>
    <n v="3.4285714285714199"/>
    <x v="16"/>
    <n v="18"/>
    <n v="1"/>
    <n v="9"/>
    <n v="1"/>
  </r>
  <r>
    <s v="822166ed1e47908f7cfb49946d03c726"/>
    <s v="tres rios"/>
    <x v="5"/>
    <n v="3.9444444444444402"/>
    <x v="179"/>
    <n v="76"/>
    <n v="11"/>
    <n v="21"/>
    <n v="1"/>
  </r>
  <r>
    <s v="827f8f69dfa529c561901c4f2e0f332f"/>
    <s v="curitiba"/>
    <x v="2"/>
    <n v="4.2524271844660104"/>
    <x v="59"/>
    <n v="81"/>
    <n v="9"/>
    <n v="13"/>
    <n v="1"/>
  </r>
  <r>
    <s v="82bd0703a4aefd6b599e5bfdaed378fb"/>
    <s v="marilia"/>
    <x v="1"/>
    <n v="3.6"/>
    <x v="46"/>
    <n v="16"/>
    <n v="2"/>
    <n v="7"/>
    <n v="1"/>
  </r>
  <r>
    <s v="82e0a475a88cc9595229d8029273f045"/>
    <s v="sao paulo"/>
    <x v="1"/>
    <n v="3.3176470588235198"/>
    <x v="62"/>
    <n v="51"/>
    <n v="2"/>
    <n v="32"/>
    <n v="1"/>
  </r>
  <r>
    <s v="834f3294fba9f932f56edc879193f925"/>
    <s v="araraquara"/>
    <x v="1"/>
    <n v="4.5454545454545396"/>
    <x v="7"/>
    <n v="60"/>
    <n v="3"/>
    <n v="3"/>
    <n v="1"/>
  </r>
  <r>
    <s v="834f8533b2ecb6598dd004ff3de7203a"/>
    <s v="sao paulo"/>
    <x v="1"/>
    <n v="3.76"/>
    <x v="15"/>
    <n v="34"/>
    <n v="5"/>
    <n v="11"/>
    <n v="1"/>
  </r>
  <r>
    <s v="835f0f7810c76831d6c7d24c7a646d4d"/>
    <s v="sao paulo"/>
    <x v="1"/>
    <n v="3.3"/>
    <x v="15"/>
    <n v="27"/>
    <n v="6"/>
    <n v="17"/>
    <n v="1"/>
  </r>
  <r>
    <s v="83deb69e889cf80f82be1dc6d5f2d486"/>
    <s v="florianopolis"/>
    <x v="3"/>
    <n v="4.3571428571428497"/>
    <x v="53"/>
    <n v="34"/>
    <n v="2"/>
    <n v="6"/>
    <n v="1"/>
  </r>
  <r>
    <s v="83e197e95a1bbabc8c75e883ed016c47"/>
    <s v="mage"/>
    <x v="5"/>
    <n v="4.7454545454545398"/>
    <x v="54"/>
    <n v="52"/>
    <n v="2"/>
    <n v="1"/>
    <n v="1"/>
  </r>
  <r>
    <s v="8444e55c1f13cd5c179851e5ca5ebd00"/>
    <s v="congonhal"/>
    <x v="4"/>
    <n v="3.07339449541284"/>
    <x v="134"/>
    <n v="56"/>
    <n v="9"/>
    <n v="44"/>
    <n v="1"/>
  </r>
  <r>
    <s v="845e8036c3f7bf62099352f5ed910240"/>
    <s v="rio de janeiro"/>
    <x v="5"/>
    <n v="3.8333333333333299"/>
    <x v="10"/>
    <n v="18"/>
    <n v="0"/>
    <n v="6"/>
    <n v="1"/>
  </r>
  <r>
    <s v="850913d59ce317156b00f3705f1c3edb"/>
    <s v="atibaia"/>
    <x v="1"/>
    <n v="3.3529411764705799"/>
    <x v="71"/>
    <n v="17"/>
    <n v="5"/>
    <n v="12"/>
    <n v="1"/>
  </r>
  <r>
    <s v="850f4f8af5ea87287ac68de36e29107f"/>
    <s v="sao paulo"/>
    <x v="1"/>
    <n v="4.2872340425531901"/>
    <x v="180"/>
    <n v="156"/>
    <n v="14"/>
    <n v="18"/>
    <n v="1"/>
  </r>
  <r>
    <s v="855668e0971d4dfd7bef1b6a4133b41b"/>
    <s v="itatiba"/>
    <x v="1"/>
    <n v="3.7253086419753001"/>
    <x v="181"/>
    <n v="214"/>
    <n v="31"/>
    <n v="79"/>
    <n v="1"/>
  </r>
  <r>
    <s v="8581055ce74af1daba164fdbd55a40de"/>
    <s v="guarulhos"/>
    <x v="1"/>
    <n v="4.2307692307692299"/>
    <x v="182"/>
    <n v="359"/>
    <n v="30"/>
    <n v="53"/>
    <n v="1"/>
  </r>
  <r>
    <s v="85d9eb9ddc5d00ca9336a2219c97bb13"/>
    <s v="belo horizonte"/>
    <x v="4"/>
    <n v="4.1724137931034404"/>
    <x v="183"/>
    <n v="417"/>
    <n v="50"/>
    <n v="55"/>
    <n v="1"/>
  </r>
  <r>
    <s v="8648b1e89e9b349e32d3741b30ec737e"/>
    <s v="jacarei"/>
    <x v="1"/>
    <n v="4.03809523809523"/>
    <x v="184"/>
    <n v="78"/>
    <n v="9"/>
    <n v="18"/>
    <n v="1"/>
  </r>
  <r>
    <s v="86ccac0b835037332a596a33b6949ee1"/>
    <s v="blumenau"/>
    <x v="3"/>
    <n v="4.0047393364928903"/>
    <x v="185"/>
    <n v="161"/>
    <n v="12"/>
    <n v="38"/>
    <n v="1"/>
  </r>
  <r>
    <s v="870d0118f7a9d85960f29ad89d5d989a"/>
    <s v="pocos de caldas"/>
    <x v="4"/>
    <n v="4.0625"/>
    <x v="20"/>
    <n v="46"/>
    <n v="13"/>
    <n v="5"/>
    <n v="1"/>
  </r>
  <r>
    <s v="87142160b41353c4e5fca2360caf6f92"/>
    <s v="porto alegre"/>
    <x v="6"/>
    <n v="4.3665689149560096"/>
    <x v="176"/>
    <n v="291"/>
    <n v="27"/>
    <n v="23"/>
    <n v="1"/>
  </r>
  <r>
    <s v="88460e8ebdecbfecb5f9601833981930"/>
    <s v="maringa"/>
    <x v="2"/>
    <n v="3.3516129032258002"/>
    <x v="186"/>
    <n v="180"/>
    <n v="30"/>
    <n v="100"/>
    <n v="1"/>
  </r>
  <r>
    <s v="888faa8bfb0b159c37de6d898b961c31"/>
    <s v="braco do norte"/>
    <x v="3"/>
    <n v="3.8695652173913002"/>
    <x v="31"/>
    <n v="16"/>
    <n v="3"/>
    <n v="4"/>
    <n v="1"/>
  </r>
  <r>
    <s v="891071be6ba827b591264c90c2ae8a63"/>
    <s v="sao paulo"/>
    <x v="1"/>
    <n v="3.71717171717171"/>
    <x v="114"/>
    <n v="67"/>
    <n v="5"/>
    <n v="27"/>
    <n v="1"/>
  </r>
  <r>
    <s v="8931a84a914b3fe9b1ddaa4d704947ca"/>
    <s v="sao paulo"/>
    <x v="1"/>
    <n v="3.7741935483870899"/>
    <x v="40"/>
    <n v="22"/>
    <n v="1"/>
    <n v="8"/>
    <n v="1"/>
  </r>
  <r>
    <s v="897060da8b9a21f655304d50fd935913"/>
    <s v="ribeirao preto"/>
    <x v="1"/>
    <n v="3.3953488372092999"/>
    <x v="187"/>
    <n v="254"/>
    <n v="40"/>
    <n v="136"/>
    <n v="1"/>
  </r>
  <r>
    <s v="89bc797e2e29667aa035d4368f9b7f92"/>
    <s v="sao paulo"/>
    <x v="1"/>
    <n v="3.75"/>
    <x v="35"/>
    <n v="15"/>
    <n v="1"/>
    <n v="4"/>
    <n v="1"/>
  </r>
  <r>
    <s v="8a130737016f838139d31878787a39c9"/>
    <s v="sao paulo"/>
    <x v="1"/>
    <n v="4.3548387096774102"/>
    <x v="105"/>
    <n v="54"/>
    <n v="3"/>
    <n v="5"/>
    <n v="1"/>
  </r>
  <r>
    <s v="8a32e327fe2c1b3511609d81aaf9f042"/>
    <s v="sao paulo"/>
    <x v="1"/>
    <n v="3.7833333333333301"/>
    <x v="41"/>
    <n v="118"/>
    <n v="26"/>
    <n v="36"/>
    <n v="1"/>
  </r>
  <r>
    <s v="8a432f4e5b471f8da497d7dc517666e2"/>
    <s v="presidente prudente"/>
    <x v="1"/>
    <n v="4.2019230769230704"/>
    <x v="132"/>
    <n v="83"/>
    <n v="8"/>
    <n v="13"/>
    <n v="1"/>
  </r>
  <r>
    <s v="8ab42aa58097fd4668d60cc648225d5f"/>
    <s v="goiania"/>
    <x v="9"/>
    <n v="4.1538461538461497"/>
    <x v="3"/>
    <n v="19"/>
    <n v="5"/>
    <n v="2"/>
    <n v="1"/>
  </r>
  <r>
    <s v="8ae520247981aa06bc94abddf5f46d34"/>
    <s v="navegantes"/>
    <x v="3"/>
    <n v="4.4461538461538401"/>
    <x v="19"/>
    <n v="58"/>
    <n v="1"/>
    <n v="6"/>
    <n v="1"/>
  </r>
  <r>
    <s v="8b2492b7ff4468839593fafeed55bad9"/>
    <s v="sao goncalo"/>
    <x v="5"/>
    <n v="3.88888888888888"/>
    <x v="101"/>
    <n v="29"/>
    <n v="8"/>
    <n v="8"/>
    <n v="1"/>
  </r>
  <r>
    <s v="8b28d096634035667e8263d57ba3368c"/>
    <s v="sao jose dos campos"/>
    <x v="1"/>
    <n v="3.86184210526315"/>
    <x v="119"/>
    <n v="109"/>
    <n v="15"/>
    <n v="28"/>
    <n v="1"/>
  </r>
  <r>
    <s v="8b321bb669392f5163d04c59e235e066"/>
    <s v="sao paulo"/>
    <x v="1"/>
    <n v="3.9950690335305699"/>
    <x v="188"/>
    <n v="761"/>
    <n v="79"/>
    <n v="174"/>
    <n v="1"/>
  </r>
  <r>
    <s v="8b9d6eec4a7eb7d0f9d579ce0b38324d"/>
    <s v="mesquita"/>
    <x v="5"/>
    <n v="4.0566037735849001"/>
    <x v="91"/>
    <n v="42"/>
    <n v="2"/>
    <n v="9"/>
    <n v="1"/>
  </r>
  <r>
    <s v="8bb48dc19fccaa8613b6229bf7f452a2"/>
    <s v="assis"/>
    <x v="1"/>
    <n v="4.34375"/>
    <x v="17"/>
    <n v="84"/>
    <n v="2"/>
    <n v="10"/>
    <n v="1"/>
  </r>
  <r>
    <s v="8bd0f31cf0a614c658f6763bd02dea69"/>
    <s v="sao paulo"/>
    <x v="1"/>
    <n v="4.2058823529411704"/>
    <x v="71"/>
    <n v="26"/>
    <n v="5"/>
    <n v="3"/>
    <n v="1"/>
  </r>
  <r>
    <s v="8c16d1f32a54d92897cc437244442e1b"/>
    <s v="blumenau"/>
    <x v="3"/>
    <n v="4.3275862068965498"/>
    <x v="154"/>
    <n v="95"/>
    <n v="12"/>
    <n v="9"/>
    <n v="1"/>
  </r>
  <r>
    <s v="8c5e007d7bd5693fa1386ffefbc99f6c"/>
    <s v="indaiatuba"/>
    <x v="1"/>
    <n v="4.1666666666666599"/>
    <x v="10"/>
    <n v="20"/>
    <n v="0"/>
    <n v="4"/>
    <n v="1"/>
  </r>
  <r>
    <s v="8cbac7e12637ed9cffa18c7875207478"/>
    <s v="jaragua do sul"/>
    <x v="3"/>
    <n v="4.1463414634146298"/>
    <x v="30"/>
    <n v="59"/>
    <n v="14"/>
    <n v="9"/>
    <n v="1"/>
  </r>
  <r>
    <s v="8cc6a0e5738e61a87b03c78b2ba9db4b"/>
    <s v="andradas"/>
    <x v="4"/>
    <n v="4.1538461538461497"/>
    <x v="3"/>
    <n v="20"/>
    <n v="3"/>
    <n v="3"/>
    <n v="1"/>
  </r>
  <r>
    <s v="8d79c8a04e42d722a75097ce5cbcf2ef"/>
    <s v="caucaia"/>
    <x v="13"/>
    <n v="4.46428571428571"/>
    <x v="16"/>
    <n v="25"/>
    <n v="0"/>
    <n v="3"/>
    <n v="1"/>
  </r>
  <r>
    <s v="8d956fec2e4337affcb520f56fd8cbfd"/>
    <s v="sao bernardo do campo"/>
    <x v="1"/>
    <n v="4.1921397379912602"/>
    <x v="189"/>
    <n v="187"/>
    <n v="18"/>
    <n v="24"/>
    <n v="1"/>
  </r>
  <r>
    <s v="8e6cc767478edae941d9bd9eb778d77a"/>
    <s v="araguari"/>
    <x v="4"/>
    <n v="3.90350877192982"/>
    <x v="165"/>
    <n v="78"/>
    <n v="14"/>
    <n v="22"/>
    <n v="1"/>
  </r>
  <r>
    <s v="8e6d7754bc7e0f22c96d255ebda59eba"/>
    <s v="sao jose dos campos"/>
    <x v="1"/>
    <n v="3.0150375939849599"/>
    <x v="57"/>
    <n v="63"/>
    <n v="11"/>
    <n v="59"/>
    <n v="1"/>
  </r>
  <r>
    <s v="8e8a7ce9f2f970dc00e2acf6f6e199f6"/>
    <s v="sao goncalo"/>
    <x v="5"/>
    <n v="4"/>
    <x v="7"/>
    <n v="49"/>
    <n v="9"/>
    <n v="8"/>
    <n v="1"/>
  </r>
  <r>
    <s v="8f119a0aee85c0c8fc534629734e94fd"/>
    <s v="barueri"/>
    <x v="1"/>
    <n v="4.2168674698795101"/>
    <x v="98"/>
    <n v="67"/>
    <n v="8"/>
    <n v="8"/>
    <n v="1"/>
  </r>
  <r>
    <s v="8f2ce03f928b567e3d56181ae20ae952"/>
    <s v="pirituba"/>
    <x v="1"/>
    <n v="4.0632183908045896"/>
    <x v="135"/>
    <n v="137"/>
    <n v="12"/>
    <n v="25"/>
    <n v="1"/>
  </r>
  <r>
    <s v="8f78f0903005064036736c7173a5c2ed"/>
    <s v="tiradentes"/>
    <x v="4"/>
    <n v="3.4761904761904701"/>
    <x v="33"/>
    <n v="12"/>
    <n v="3"/>
    <n v="6"/>
    <n v="1"/>
  </r>
  <r>
    <s v="8fdca8e349553f99bc738833a62c8802"/>
    <s v="sao paulo"/>
    <x v="1"/>
    <n v="4.3571428571428497"/>
    <x v="16"/>
    <n v="25"/>
    <n v="1"/>
    <n v="2"/>
    <n v="1"/>
  </r>
  <r>
    <s v="900ba814c251a692506d7834c1218441"/>
    <s v="salto"/>
    <x v="1"/>
    <n v="4.1882352941176402"/>
    <x v="62"/>
    <n v="68"/>
    <n v="9"/>
    <n v="8"/>
    <n v="1"/>
  </r>
  <r>
    <s v="903037660cf848a717166eb7a06d616e"/>
    <s v="sao paulo"/>
    <x v="1"/>
    <n v="3.7666666666666599"/>
    <x v="22"/>
    <n v="38"/>
    <n v="9"/>
    <n v="13"/>
    <n v="1"/>
  </r>
  <r>
    <s v="916748bc99315c2d202898ae58b1617e"/>
    <s v="sorocaba"/>
    <x v="1"/>
    <n v="4.34375"/>
    <x v="52"/>
    <n v="29"/>
    <n v="1"/>
    <n v="2"/>
    <n v="1"/>
  </r>
  <r>
    <s v="916c9de0b5ad957346eeeb12f332687e"/>
    <s v="curitiba"/>
    <x v="2"/>
    <n v="4.3928571428571397"/>
    <x v="16"/>
    <n v="25"/>
    <n v="1"/>
    <n v="2"/>
    <n v="1"/>
  </r>
  <r>
    <s v="91f848e9f4be368f4318775aac733370"/>
    <s v="sao paulo"/>
    <x v="1"/>
    <n v="4.2777777777777697"/>
    <x v="23"/>
    <n v="58"/>
    <n v="9"/>
    <n v="5"/>
    <n v="1"/>
  </r>
  <r>
    <s v="92eb0f42c21942b6552362b9b114707d"/>
    <s v="sao paulo"/>
    <x v="1"/>
    <n v="3.9309392265193299"/>
    <x v="190"/>
    <n v="263"/>
    <n v="38"/>
    <n v="61"/>
    <n v="1"/>
  </r>
  <r>
    <s v="93b9a99027bd8bd6af682aff18dd19bf"/>
    <s v="mairipora"/>
    <x v="1"/>
    <n v="4.0999999999999996"/>
    <x v="35"/>
    <n v="16"/>
    <n v="3"/>
    <n v="1"/>
    <n v="1"/>
  </r>
  <r>
    <s v="93dc87703c046b603023e75222018b45"/>
    <s v="belo horizonte"/>
    <x v="4"/>
    <n v="4"/>
    <x v="71"/>
    <n v="26"/>
    <n v="3"/>
    <n v="5"/>
    <n v="1"/>
  </r>
  <r>
    <s v="94144541854e298c2d976cb893b81343"/>
    <s v="viamao"/>
    <x v="6"/>
    <n v="4.2894736842105203"/>
    <x v="129"/>
    <n v="62"/>
    <n v="5"/>
    <n v="9"/>
    <n v="1"/>
  </r>
  <r>
    <s v="94e93ce877be27a515118dbfd2c2be41"/>
    <s v="votuporanga"/>
    <x v="1"/>
    <n v="3.9411764705882302"/>
    <x v="71"/>
    <n v="24"/>
    <n v="4"/>
    <n v="6"/>
    <n v="1"/>
  </r>
  <r>
    <s v="951e8cef368f09bb3f3d03c00ca4702c"/>
    <s v="ibitinga"/>
    <x v="1"/>
    <n v="4.1176470588235201"/>
    <x v="150"/>
    <n v="53"/>
    <n v="6"/>
    <n v="9"/>
    <n v="1"/>
  </r>
  <r>
    <s v="955fee9216a65b617aa5c0531780ce60"/>
    <s v="sao paulo"/>
    <x v="1"/>
    <n v="4.0517125587642697"/>
    <x v="191"/>
    <n v="1129"/>
    <n v="145"/>
    <n v="215"/>
    <n v="1"/>
  </r>
  <r>
    <s v="9596c870880d900012f2e8e6e30d06d7"/>
    <s v="varginha"/>
    <x v="4"/>
    <n v="4.0416666666666599"/>
    <x v="10"/>
    <n v="18"/>
    <n v="4"/>
    <n v="2"/>
    <n v="1"/>
  </r>
  <r>
    <s v="95e03ca3d4146e4011985981aeb959b9"/>
    <s v="rio de janeiro"/>
    <x v="5"/>
    <n v="3.99481865284974"/>
    <x v="192"/>
    <n v="137"/>
    <n v="26"/>
    <n v="30"/>
    <n v="1"/>
  </r>
  <r>
    <s v="95ec4458365c4d11f452ccf538377619"/>
    <s v="limeira"/>
    <x v="1"/>
    <n v="4.2666666666666604"/>
    <x v="11"/>
    <n v="26"/>
    <n v="0"/>
    <n v="4"/>
    <n v="1"/>
  </r>
  <r>
    <s v="95f83f51203c626648c875dd41874c7f"/>
    <s v="borda da mata"/>
    <x v="4"/>
    <n v="3.1764705882352899"/>
    <x v="150"/>
    <n v="34"/>
    <n v="3"/>
    <n v="31"/>
    <n v="1"/>
  </r>
  <r>
    <s v="960945e1a9535cbc0cd6ddd35fbe7ae8"/>
    <s v="sao paulo"/>
    <x v="1"/>
    <n v="4.6551724137930997"/>
    <x v="83"/>
    <n v="27"/>
    <n v="2"/>
    <n v="0"/>
    <n v="1"/>
  </r>
  <r>
    <s v="9616352088dcf83a7c06637f4ebf1c80"/>
    <s v="umuarama"/>
    <x v="2"/>
    <n v="4.2424242424242404"/>
    <x v="114"/>
    <n v="82"/>
    <n v="7"/>
    <n v="10"/>
    <n v="1"/>
  </r>
  <r>
    <s v="9646c3513289980f17226a2fc4720dbd"/>
    <s v="sao jose dos campos"/>
    <x v="1"/>
    <n v="4.2564102564102502"/>
    <x v="85"/>
    <n v="64"/>
    <n v="4"/>
    <n v="10"/>
    <n v="1"/>
  </r>
  <r>
    <s v="96493fab2fbb13a14d0c0e8772eef5c3"/>
    <s v="sao paulo"/>
    <x v="1"/>
    <n v="4.0317460317460299"/>
    <x v="21"/>
    <n v="46"/>
    <n v="7"/>
    <n v="10"/>
    <n v="1"/>
  </r>
  <r>
    <s v="966cb4760537b1404caedd472cc610a5"/>
    <s v="diadema"/>
    <x v="1"/>
    <n v="3.8533333333333299"/>
    <x v="82"/>
    <n v="51"/>
    <n v="10"/>
    <n v="14"/>
    <n v="1"/>
  </r>
  <r>
    <s v="9674754b5a0cb32b638cec001178f799"/>
    <s v="sao paulo"/>
    <x v="1"/>
    <n v="4.03"/>
    <x v="111"/>
    <n v="74"/>
    <n v="7"/>
    <n v="19"/>
    <n v="1"/>
  </r>
  <r>
    <s v="96804ea39d96eb908e7c3afdb671bb9e"/>
    <s v="ibia"/>
    <x v="4"/>
    <n v="3.9"/>
    <x v="29"/>
    <n v="30"/>
    <n v="2"/>
    <n v="8"/>
    <n v="1"/>
  </r>
  <r>
    <s v="972d0f9cf61b499a4812cf0bfa3ad3c4"/>
    <s v="brusque"/>
    <x v="3"/>
    <n v="2.96428571428571"/>
    <x v="130"/>
    <n v="37"/>
    <n v="10"/>
    <n v="37"/>
    <n v="1"/>
  </r>
  <r>
    <s v="973f21788dfab357250f69a8dcb7ddee"/>
    <s v="claudio"/>
    <x v="4"/>
    <n v="2.3333333333333299"/>
    <x v="33"/>
    <n v="4"/>
    <n v="6"/>
    <n v="11"/>
    <n v="1"/>
  </r>
  <r>
    <s v="974cf2cb8f4b7add98709c30df02fe10"/>
    <s v="araraquara"/>
    <x v="1"/>
    <n v="4.0606060606060597"/>
    <x v="74"/>
    <n v="25"/>
    <n v="3"/>
    <n v="5"/>
    <n v="1"/>
  </r>
  <r>
    <s v="977f9f63dd360c2a32ece2f93ad6d306"/>
    <s v="tabatinga"/>
    <x v="1"/>
    <n v="3.8"/>
    <x v="46"/>
    <n v="16"/>
    <n v="4"/>
    <n v="5"/>
    <n v="1"/>
  </r>
  <r>
    <s v="98dac6635aee4995d501a3972e047414"/>
    <s v="sao paulo"/>
    <x v="1"/>
    <n v="3.8756476683937802"/>
    <x v="192"/>
    <n v="139"/>
    <n v="7"/>
    <n v="47"/>
    <n v="1"/>
  </r>
  <r>
    <s v="99002261c568a84cce14d43fcffb43ea"/>
    <s v="cuiaba"/>
    <x v="8"/>
    <n v="3.7222222222222201"/>
    <x v="92"/>
    <n v="22"/>
    <n v="8"/>
    <n v="6"/>
    <n v="1"/>
  </r>
  <r>
    <s v="994f04b3718c2bab35c2adfa8afecd2a"/>
    <s v="jaguariuna"/>
    <x v="1"/>
    <n v="4.2807017543859596"/>
    <x v="117"/>
    <n v="45"/>
    <n v="9"/>
    <n v="3"/>
    <n v="1"/>
  </r>
  <r>
    <s v="99a54764c341d5dc80b4a8fac4eba3fb"/>
    <s v="sao paulo"/>
    <x v="1"/>
    <n v="3.46969696969696"/>
    <x v="7"/>
    <n v="38"/>
    <n v="12"/>
    <n v="16"/>
    <n v="1"/>
  </r>
  <r>
    <s v="99eaacc9e6046db1c82b163c5f84869f"/>
    <s v="franca"/>
    <x v="1"/>
    <n v="3.9"/>
    <x v="167"/>
    <n v="54"/>
    <n v="2"/>
    <n v="14"/>
    <n v="1"/>
  </r>
  <r>
    <s v="9add47bf45ce8e8c7db6b9cf670b1e09"/>
    <s v="fazenda rio grande"/>
    <x v="2"/>
    <n v="4.2045454545454497"/>
    <x v="78"/>
    <n v="36"/>
    <n v="4"/>
    <n v="4"/>
    <n v="1"/>
  </r>
  <r>
    <s v="9b00ed88b7fdb95d6ff76e27c1b52d16"/>
    <s v="sao paulo"/>
    <x v="1"/>
    <n v="4.5098039215686203"/>
    <x v="86"/>
    <n v="45"/>
    <n v="2"/>
    <n v="4"/>
    <n v="1"/>
  </r>
  <r>
    <s v="9b013e03b2ab786505a1d3b5c0756754"/>
    <s v="vicente de carvalho"/>
    <x v="1"/>
    <n v="4"/>
    <x v="75"/>
    <n v="167"/>
    <n v="12"/>
    <n v="40"/>
    <n v="1"/>
  </r>
  <r>
    <s v="9baf5cb77970f539089d09a38bcec5c3"/>
    <s v="indaiatuba"/>
    <x v="1"/>
    <n v="4.3333333333333304"/>
    <x v="74"/>
    <n v="29"/>
    <n v="1"/>
    <n v="3"/>
    <n v="1"/>
  </r>
  <r>
    <s v="9bcdfa7b615b3abb9461d9e3ad9886ae"/>
    <s v="blumenau"/>
    <x v="3"/>
    <n v="4.5999999999999996"/>
    <x v="35"/>
    <n v="19"/>
    <n v="0"/>
    <n v="1"/>
    <n v="1"/>
  </r>
  <r>
    <s v="9c0e69c7bf2619675bbadf47b43f655a"/>
    <s v="sao jose dos campos"/>
    <x v="1"/>
    <n v="3.9951923076922999"/>
    <x v="193"/>
    <n v="156"/>
    <n v="17"/>
    <n v="35"/>
    <n v="1"/>
  </r>
  <r>
    <s v="9d4db00d65d7760644ac0c14edb5fd86"/>
    <s v="sorocaba"/>
    <x v="1"/>
    <n v="4.5151515151515103"/>
    <x v="114"/>
    <n v="90"/>
    <n v="4"/>
    <n v="5"/>
    <n v="1"/>
  </r>
  <r>
    <s v="9d5a9018aee56acb367ba9c3f05d1d6a"/>
    <s v="aparecida de goiania"/>
    <x v="9"/>
    <n v="4.40506329113924"/>
    <x v="89"/>
    <n v="68"/>
    <n v="1"/>
    <n v="10"/>
    <n v="1"/>
  </r>
  <r>
    <s v="9dda5bbacd45e18d6485fee649205d09"/>
    <s v="santa rita do sapucai"/>
    <x v="4"/>
    <n v="4.2272727272727204"/>
    <x v="18"/>
    <n v="17"/>
    <n v="2"/>
    <n v="3"/>
    <n v="1"/>
  </r>
  <r>
    <s v="9de4643a8dbde634fe55621059d92273"/>
    <s v="joinville"/>
    <x v="3"/>
    <n v="4.5308641975308603"/>
    <x v="137"/>
    <n v="73"/>
    <n v="3"/>
    <n v="5"/>
    <n v="1"/>
  </r>
  <r>
    <s v="9e6229250fedbe05838fef417b74e7fb"/>
    <s v="mirandopolis"/>
    <x v="1"/>
    <n v="3.8974358974358898"/>
    <x v="85"/>
    <n v="55"/>
    <n v="11"/>
    <n v="12"/>
    <n v="1"/>
  </r>
  <r>
    <s v="9f505651f4a6abe901a56cdc21508025"/>
    <s v="sao paulo"/>
    <x v="1"/>
    <n v="4.2833723653395701"/>
    <x v="88"/>
    <n v="348"/>
    <n v="33"/>
    <n v="46"/>
    <n v="1"/>
  </r>
  <r>
    <s v="a1043bafd471dff536d0c462352beb48"/>
    <s v="ilicinea"/>
    <x v="4"/>
    <n v="4.1890482398956896"/>
    <x v="194"/>
    <n v="623"/>
    <n v="53"/>
    <n v="91"/>
    <n v="1"/>
  </r>
  <r>
    <s v="a17f621c590ea0fab3d5d883e1630ec6"/>
    <s v="sorocaba"/>
    <x v="1"/>
    <n v="4.0921052631578902"/>
    <x v="129"/>
    <n v="59"/>
    <n v="4"/>
    <n v="13"/>
    <n v="1"/>
  </r>
  <r>
    <s v="a2e874074c877c5a05abae80ad6e488f"/>
    <s v="sao jose do rio preto"/>
    <x v="1"/>
    <n v="3.9130434782608599"/>
    <x v="90"/>
    <n v="34"/>
    <n v="4"/>
    <n v="8"/>
    <n v="1"/>
  </r>
  <r>
    <s v="a36b125ac6d5fdbc7f50de85c9157bdc"/>
    <s v="ribeirao preto"/>
    <x v="1"/>
    <n v="4.0384615384615303"/>
    <x v="3"/>
    <n v="20"/>
    <n v="3"/>
    <n v="3"/>
    <n v="1"/>
  </r>
  <r>
    <s v="a3a38f4affed601eb87a97788c949667"/>
    <s v="joinville"/>
    <x v="3"/>
    <n v="4.38846153846153"/>
    <x v="195"/>
    <n v="220"/>
    <n v="18"/>
    <n v="22"/>
    <n v="1"/>
  </r>
  <r>
    <s v="a3dd39f583bc80bd8c5901c95878921e"/>
    <s v="salvador"/>
    <x v="12"/>
    <n v="4.6052631578947301"/>
    <x v="28"/>
    <n v="36"/>
    <n v="1"/>
    <n v="1"/>
    <n v="1"/>
  </r>
  <r>
    <s v="a3e9a2c700480d9bb01fba070ba80a0e"/>
    <s v="ibitinga"/>
    <x v="1"/>
    <n v="4.0136986301369797"/>
    <x v="39"/>
    <n v="114"/>
    <n v="9"/>
    <n v="23"/>
    <n v="1"/>
  </r>
  <r>
    <s v="a3f0b55de503387383c7b1de3ad7f678"/>
    <s v="curitiba"/>
    <x v="2"/>
    <n v="4.3846153846153797"/>
    <x v="3"/>
    <n v="21"/>
    <n v="4"/>
    <n v="1"/>
    <n v="1"/>
  </r>
  <r>
    <s v="a416b6a846a11724393025641d4edd5e"/>
    <s v="sao paulo"/>
    <x v="1"/>
    <n v="4.1602209944751296"/>
    <x v="172"/>
    <n v="139"/>
    <n v="14"/>
    <n v="28"/>
    <n v="1"/>
  </r>
  <r>
    <s v="a420f60ff1aa9acc80d0e42959f2b313"/>
    <s v="sao paulo"/>
    <x v="1"/>
    <n v="3.9253731343283498"/>
    <x v="69"/>
    <n v="50"/>
    <n v="6"/>
    <n v="11"/>
    <n v="1"/>
  </r>
  <r>
    <s v="a49928bcdf77c55c6d6e05e09a9b4ca5"/>
    <s v="sao paulo"/>
    <x v="1"/>
    <n v="2.9528301886792399"/>
    <x v="196"/>
    <n v="48"/>
    <n v="12"/>
    <n v="46"/>
    <n v="1"/>
  </r>
  <r>
    <s v="a5a1bfcf728ab0e19182959cf0771ee4"/>
    <s v="socorro"/>
    <x v="1"/>
    <n v="4.2916666666666599"/>
    <x v="10"/>
    <n v="19"/>
    <n v="4"/>
    <n v="1"/>
    <n v="1"/>
  </r>
  <r>
    <s v="a5cba26a62b8b4d0145b68b841e62e7f"/>
    <s v="campo mourao"/>
    <x v="2"/>
    <n v="4.5272727272727202"/>
    <x v="54"/>
    <n v="48"/>
    <n v="4"/>
    <n v="3"/>
    <n v="1"/>
  </r>
  <r>
    <s v="a673821011d0cec28146ea42f5ab767f"/>
    <s v="sao paulo"/>
    <x v="1"/>
    <n v="3.88652482269503"/>
    <x v="5"/>
    <n v="100"/>
    <n v="12"/>
    <n v="29"/>
    <n v="1"/>
  </r>
  <r>
    <s v="a6fe7de3d16f6149ffe280349a8535a0"/>
    <s v="franca"/>
    <x v="1"/>
    <n v="4"/>
    <x v="86"/>
    <n v="38"/>
    <n v="4"/>
    <n v="9"/>
    <n v="1"/>
  </r>
  <r>
    <s v="a7f13822ceb966b076af67121f87b063"/>
    <s v="itaquaquecetuba"/>
    <x v="1"/>
    <n v="3.4352941176470502"/>
    <x v="62"/>
    <n v="48"/>
    <n v="14"/>
    <n v="23"/>
    <n v="1"/>
  </r>
  <r>
    <s v="a888faf2d1baececa6baf9c3d603ee1f"/>
    <s v="umuarama"/>
    <x v="2"/>
    <n v="4.0545454545454502"/>
    <x v="54"/>
    <n v="42"/>
    <n v="4"/>
    <n v="9"/>
    <n v="1"/>
  </r>
  <r>
    <s v="a938325a4b357fd23a6a4d5bb126408e"/>
    <s v="nilopolis"/>
    <x v="5"/>
    <n v="3.88"/>
    <x v="46"/>
    <n v="20"/>
    <n v="0"/>
    <n v="5"/>
    <n v="1"/>
  </r>
  <r>
    <s v="aac29b1b99776be73c3049939652091d"/>
    <s v="uberlandia"/>
    <x v="4"/>
    <n v="3.9398496240601499"/>
    <x v="57"/>
    <n v="96"/>
    <n v="15"/>
    <n v="22"/>
    <n v="1"/>
  </r>
  <r>
    <s v="aae3bfea055532c57fb453ed3ec80b30"/>
    <s v="santo andre"/>
    <x v="1"/>
    <n v="3.5510204081632599"/>
    <x v="95"/>
    <n v="30"/>
    <n v="8"/>
    <n v="11"/>
    <n v="1"/>
  </r>
  <r>
    <s v="aaed1309374718fdd995ee4c58c9dfcd"/>
    <s v="timbo"/>
    <x v="3"/>
    <n v="4.0535714285714199"/>
    <x v="197"/>
    <n v="87"/>
    <n v="10"/>
    <n v="15"/>
    <n v="1"/>
  </r>
  <r>
    <s v="aafe36600ce604f205b86b5084d3d767"/>
    <s v="sao jose"/>
    <x v="3"/>
    <n v="4.3816793893129704"/>
    <x v="198"/>
    <n v="113"/>
    <n v="5"/>
    <n v="13"/>
    <n v="1"/>
  </r>
  <r>
    <s v="aba1721a889e04decc910aa13b768ef4"/>
    <s v="sao paulo"/>
    <x v="1"/>
    <n v="4.4565217391304301"/>
    <x v="199"/>
    <n v="79"/>
    <n v="4"/>
    <n v="9"/>
    <n v="1"/>
  </r>
  <r>
    <s v="abcd2cb37d46c2c8fb1bf071c859fc5b"/>
    <s v="cuiaba"/>
    <x v="8"/>
    <n v="4.25"/>
    <x v="47"/>
    <n v="39"/>
    <n v="11"/>
    <n v="2"/>
    <n v="1"/>
  </r>
  <r>
    <s v="abe42c5d03695b4257b5c6cbf4e6784e"/>
    <s v="rio de janeiro"/>
    <x v="5"/>
    <n v="3.9183673469387701"/>
    <x v="95"/>
    <n v="35"/>
    <n v="5"/>
    <n v="9"/>
    <n v="1"/>
  </r>
  <r>
    <s v="ac3508719a1d8f5b7614b798f70af136"/>
    <s v="canoas"/>
    <x v="6"/>
    <n v="4.5686274509803901"/>
    <x v="200"/>
    <n v="92"/>
    <n v="5"/>
    <n v="5"/>
    <n v="1"/>
  </r>
  <r>
    <s v="acce39e832338debb07b02385cde5967"/>
    <s v="contagem"/>
    <x v="4"/>
    <n v="4.4772727272727204"/>
    <x v="78"/>
    <n v="40"/>
    <n v="1"/>
    <n v="3"/>
    <n v="1"/>
  </r>
  <r>
    <s v="aced59e9b31ef866a94f9e7f29d8d418"/>
    <s v="sao paulo"/>
    <x v="1"/>
    <n v="4.4347826086956497"/>
    <x v="201"/>
    <n v="60"/>
    <n v="5"/>
    <n v="4"/>
    <n v="1"/>
  </r>
  <r>
    <s v="ad420dd0c4f92f8af951ac24b86d0cf5"/>
    <s v="fronteira"/>
    <x v="4"/>
    <n v="4.1590909090909003"/>
    <x v="78"/>
    <n v="33"/>
    <n v="5"/>
    <n v="6"/>
    <n v="1"/>
  </r>
  <r>
    <s v="ad781527c93d00d89a11eecd9dcad7c1"/>
    <s v="sao jose do rio preto"/>
    <x v="1"/>
    <n v="3.0681818181818099"/>
    <x v="78"/>
    <n v="23"/>
    <n v="3"/>
    <n v="18"/>
    <n v="1"/>
  </r>
  <r>
    <s v="adbc26658d6c7b4b6219f9d934598091"/>
    <s v="curitiba"/>
    <x v="2"/>
    <n v="4.0543478260869499"/>
    <x v="199"/>
    <n v="69"/>
    <n v="7"/>
    <n v="16"/>
    <n v="1"/>
  </r>
  <r>
    <s v="adcf50477d6a1f5d91bb9d54c4903cb5"/>
    <s v="claudio"/>
    <x v="4"/>
    <n v="3.1315789473684199"/>
    <x v="28"/>
    <n v="19"/>
    <n v="6"/>
    <n v="13"/>
    <n v="1"/>
  </r>
  <r>
    <s v="af3ef48d0e13835e529c29ac573c63e5"/>
    <s v="araraquara"/>
    <x v="1"/>
    <n v="3.7619047619047601"/>
    <x v="33"/>
    <n v="15"/>
    <n v="1"/>
    <n v="5"/>
    <n v="1"/>
  </r>
  <r>
    <s v="af4a0e4cfe1d9c26b6712b1be25a72e5"/>
    <s v="mateus leme"/>
    <x v="4"/>
    <n v="3.5"/>
    <x v="3"/>
    <n v="15"/>
    <n v="2"/>
    <n v="9"/>
    <n v="1"/>
  </r>
  <r>
    <s v="afe0067131b73e40875c9b6c10bd2e21"/>
    <s v="lagoa da prata"/>
    <x v="4"/>
    <n v="4.2"/>
    <x v="101"/>
    <n v="37"/>
    <n v="3"/>
    <n v="5"/>
    <n v="1"/>
  </r>
  <r>
    <s v="b14db04aa7881970e83ffa9426897925"/>
    <s v="sorocaba"/>
    <x v="1"/>
    <n v="3.7647058823529398"/>
    <x v="200"/>
    <n v="70"/>
    <n v="12"/>
    <n v="20"/>
    <n v="1"/>
  </r>
  <r>
    <s v="b17b679f4f5ce2e03ce6968c62648246"/>
    <s v="ribeirao preto"/>
    <x v="1"/>
    <n v="3.6140350877192899"/>
    <x v="117"/>
    <n v="35"/>
    <n v="7"/>
    <n v="15"/>
    <n v="1"/>
  </r>
  <r>
    <s v="b18871c324516afa228a13e8f1ef0ae9"/>
    <s v="sao paulo"/>
    <x v="1"/>
    <n v="3.9565217391304301"/>
    <x v="31"/>
    <n v="16"/>
    <n v="0"/>
    <n v="7"/>
    <n v="1"/>
  </r>
  <r>
    <s v="b18dc380845b24038cfc48006478f099"/>
    <s v="diadema"/>
    <x v="1"/>
    <n v="3.9245283018867898"/>
    <x v="91"/>
    <n v="38"/>
    <n v="5"/>
    <n v="10"/>
    <n v="1"/>
  </r>
  <r>
    <s v="b19f3ca2ea475913750f25a5c37c8d8f"/>
    <s v="divinopolis"/>
    <x v="4"/>
    <n v="2.7916666666666599"/>
    <x v="10"/>
    <n v="10"/>
    <n v="2"/>
    <n v="12"/>
    <n v="1"/>
  </r>
  <r>
    <s v="b1a81260566c1bac3114a6d124413f27"/>
    <s v="carazinho"/>
    <x v="6"/>
    <n v="4.2222222222222197"/>
    <x v="25"/>
    <n v="45"/>
    <n v="1"/>
    <n v="8"/>
    <n v="1"/>
  </r>
  <r>
    <s v="b1ac6ea7895bc3dd6f0f6f4abbdd2821"/>
    <s v="canoas"/>
    <x v="6"/>
    <n v="4.2682926829268197"/>
    <x v="45"/>
    <n v="34"/>
    <n v="3"/>
    <n v="4"/>
    <n v="1"/>
  </r>
  <r>
    <s v="b1fc4f64df5a0e8b6913ab38803c57a9"/>
    <s v="sao goncalo"/>
    <x v="5"/>
    <n v="3.78151260504201"/>
    <x v="202"/>
    <n v="77"/>
    <n v="18"/>
    <n v="24"/>
    <n v="1"/>
  </r>
  <r>
    <s v="b1fecf4da1fa2689bccffa0121953643"/>
    <s v="campo grande"/>
    <x v="14"/>
    <n v="4.95"/>
    <x v="35"/>
    <n v="20"/>
    <n v="0"/>
    <n v="0"/>
    <n v="1"/>
  </r>
  <r>
    <s v="b2479f944e1b90cf8a5de1bbfde284d6"/>
    <s v="ibitinga"/>
    <x v="1"/>
    <n v="3.2857142857142798"/>
    <x v="57"/>
    <n v="74"/>
    <n v="12"/>
    <n v="47"/>
    <n v="1"/>
  </r>
  <r>
    <s v="b2a6d334e2833acea353624840e25a0e"/>
    <s v="sao paulo"/>
    <x v="1"/>
    <n v="4.5"/>
    <x v="3"/>
    <n v="23"/>
    <n v="1"/>
    <n v="2"/>
    <n v="1"/>
  </r>
  <r>
    <s v="b2ac621f0d0322434d04a12b078b9369"/>
    <s v="curitiba"/>
    <x v="2"/>
    <n v="4.4000000000000004"/>
    <x v="11"/>
    <n v="26"/>
    <n v="2"/>
    <n v="2"/>
    <n v="1"/>
  </r>
  <r>
    <s v="b2ba3715d723d245138f291a6fe42594"/>
    <s v="sao paulo"/>
    <x v="1"/>
    <n v="4.1083333333333298"/>
    <x v="203"/>
    <n v="281"/>
    <n v="28"/>
    <n v="51"/>
    <n v="1"/>
  </r>
  <r>
    <s v="b32be1695eb7ec5f10f72d9610a12527"/>
    <s v="caxias do sul"/>
    <x v="6"/>
    <n v="4.0888888888888797"/>
    <x v="101"/>
    <n v="36"/>
    <n v="3"/>
    <n v="6"/>
    <n v="1"/>
  </r>
  <r>
    <s v="b335c59ab742f751a85db9c411a86739"/>
    <s v="araguari"/>
    <x v="4"/>
    <n v="3.6857142857142802"/>
    <x v="55"/>
    <n v="22"/>
    <n v="7"/>
    <n v="6"/>
    <n v="1"/>
  </r>
  <r>
    <s v="b33e7c55446eabf8fe1a42d037ac7d6d"/>
    <s v="pradopolis"/>
    <x v="1"/>
    <n v="4.15483870967741"/>
    <x v="144"/>
    <n v="123"/>
    <n v="10"/>
    <n v="22"/>
    <n v="1"/>
  </r>
  <r>
    <s v="b347677812ea483b0f528eaf8cbc09b7"/>
    <s v="curitiba"/>
    <x v="2"/>
    <n v="4.5238095238095202"/>
    <x v="33"/>
    <n v="19"/>
    <n v="1"/>
    <n v="1"/>
    <n v="1"/>
  </r>
  <r>
    <s v="b372ee768ed69e46ca8cdbd267aa7a38"/>
    <s v="sao jose do rio preto"/>
    <x v="1"/>
    <n v="4.4000000000000004"/>
    <x v="167"/>
    <n v="59"/>
    <n v="4"/>
    <n v="7"/>
    <n v="1"/>
  </r>
  <r>
    <s v="b39d7fe263ef469605dbb32608aee0af"/>
    <s v="ibitinga"/>
    <x v="1"/>
    <n v="3.75"/>
    <x v="79"/>
    <n v="28"/>
    <n v="11"/>
    <n v="9"/>
    <n v="1"/>
  </r>
  <r>
    <s v="b410bdd36d5db7a65dcd42b7ead933b8"/>
    <s v="goiania"/>
    <x v="9"/>
    <n v="4.6590909090909003"/>
    <x v="78"/>
    <n v="41"/>
    <n v="1"/>
    <n v="2"/>
    <n v="1"/>
  </r>
  <r>
    <s v="b494891378bd8f4560abe576c52deacd"/>
    <s v="sao paulo"/>
    <x v="1"/>
    <n v="4.6363636363636296"/>
    <x v="18"/>
    <n v="20"/>
    <n v="1"/>
    <n v="1"/>
    <n v="1"/>
  </r>
  <r>
    <s v="b499c00f28f4b7069ff6550af8c1348a"/>
    <s v="limeira"/>
    <x v="1"/>
    <n v="4.1436170212765902"/>
    <x v="180"/>
    <n v="144"/>
    <n v="20"/>
    <n v="24"/>
    <n v="1"/>
  </r>
  <r>
    <s v="b4a476fbd28de64b1e347abf9089366a"/>
    <s v="itapevi"/>
    <x v="1"/>
    <n v="3.7567567567567499"/>
    <x v="77"/>
    <n v="24"/>
    <n v="4"/>
    <n v="9"/>
    <n v="1"/>
  </r>
  <r>
    <s v="b4f8921fcc4ff77b66bea6dda43dcd51"/>
    <s v="caxias do sul"/>
    <x v="6"/>
    <n v="4.5999999999999996"/>
    <x v="35"/>
    <n v="18"/>
    <n v="0"/>
    <n v="2"/>
    <n v="1"/>
  </r>
  <r>
    <s v="b4ffb71f0cb1b1c3d63fad021ecf93e1"/>
    <s v="sao paulo"/>
    <x v="1"/>
    <n v="4.0232558139534804"/>
    <x v="4"/>
    <n v="130"/>
    <n v="14"/>
    <n v="28"/>
    <n v="1"/>
  </r>
  <r>
    <s v="b561927807645834b59ef0d16ba55a24"/>
    <s v="sao paulo"/>
    <x v="1"/>
    <n v="4.3368421052631501"/>
    <x v="145"/>
    <n v="84"/>
    <n v="2"/>
    <n v="9"/>
    <n v="1"/>
  </r>
  <r>
    <s v="b56906f7fd1696e043f1bcce164c487b"/>
    <s v="echapora"/>
    <x v="1"/>
    <n v="3.9523809523809499"/>
    <x v="53"/>
    <n v="30"/>
    <n v="3"/>
    <n v="9"/>
    <n v="1"/>
  </r>
  <r>
    <s v="b64d51f0435e884e8de603b1655155ae"/>
    <s v="garulhos"/>
    <x v="1"/>
    <n v="4.13043478260869"/>
    <x v="31"/>
    <n v="17"/>
    <n v="3"/>
    <n v="3"/>
    <n v="1"/>
  </r>
  <r>
    <s v="b6d44737c043328708f6749c2dbe50bd"/>
    <s v="santo andre"/>
    <x v="1"/>
    <n v="4.5250000000000004"/>
    <x v="158"/>
    <n v="73"/>
    <n v="1"/>
    <n v="6"/>
    <n v="1"/>
  </r>
  <r>
    <s v="b74d1c09cb380e1d03a6f859c6f4224b"/>
    <s v="rio de janeiro"/>
    <x v="5"/>
    <n v="4.2051282051282"/>
    <x v="6"/>
    <n v="32"/>
    <n v="2"/>
    <n v="5"/>
    <n v="1"/>
  </r>
  <r>
    <s v="b76dba6c951ab00dc4edf0a1aa88037e"/>
    <s v="sao paulo"/>
    <x v="1"/>
    <n v="4.1497005988023901"/>
    <x v="99"/>
    <n v="135"/>
    <n v="12"/>
    <n v="20"/>
    <n v="1"/>
  </r>
  <r>
    <s v="b839e41795b7f3ad94cc2014a52f6796"/>
    <s v="sao caetano do sul"/>
    <x v="1"/>
    <n v="4.0277777777777697"/>
    <x v="92"/>
    <n v="27"/>
    <n v="3"/>
    <n v="6"/>
    <n v="1"/>
  </r>
  <r>
    <s v="b83cedfb587e7911540e3f576d6917ce"/>
    <s v="sao paulo"/>
    <x v="1"/>
    <n v="4.24"/>
    <x v="46"/>
    <n v="21"/>
    <n v="1"/>
    <n v="3"/>
    <n v="1"/>
  </r>
  <r>
    <s v="b8555308bfdb4ca1ed54325a58da9a97"/>
    <s v="sao bernardo do campo"/>
    <x v="1"/>
    <n v="4.0714285714285703"/>
    <x v="16"/>
    <n v="20"/>
    <n v="5"/>
    <n v="3"/>
    <n v="1"/>
  </r>
  <r>
    <s v="b8bc237ba3788b23da09c0f1f3a3288c"/>
    <s v="itajai"/>
    <x v="3"/>
    <n v="4.3478260869565197"/>
    <x v="90"/>
    <n v="40"/>
    <n v="3"/>
    <n v="3"/>
    <n v="1"/>
  </r>
  <r>
    <s v="b90e891671cffd9557f33a97dc523645"/>
    <s v="sao jose dos pinhais"/>
    <x v="2"/>
    <n v="4.1282051282051198"/>
    <x v="6"/>
    <n v="29"/>
    <n v="4"/>
    <n v="6"/>
    <n v="1"/>
  </r>
  <r>
    <s v="b92e3c8f9738272ff7c59e111e108d7c"/>
    <s v="uba"/>
    <x v="4"/>
    <n v="4.07042253521126"/>
    <x v="141"/>
    <n v="57"/>
    <n v="0"/>
    <n v="14"/>
    <n v="1"/>
  </r>
  <r>
    <s v="b94cc9f10ddc85e4ba73a6f7974e7101"/>
    <s v="macae"/>
    <x v="5"/>
    <n v="4.2972972972972903"/>
    <x v="77"/>
    <n v="30"/>
    <n v="2"/>
    <n v="5"/>
    <n v="1"/>
  </r>
  <r>
    <s v="ba143b05f0110f0dc71ad71b4466ce92"/>
    <s v="sao paulo"/>
    <x v="1"/>
    <n v="4.4235294117646999"/>
    <x v="62"/>
    <n v="75"/>
    <n v="2"/>
    <n v="8"/>
    <n v="1"/>
  </r>
  <r>
    <s v="ba90964cff9b9e0e6f32b23b82465f7b"/>
    <s v="guarulhos"/>
    <x v="1"/>
    <n v="4.4210526315789398"/>
    <x v="28"/>
    <n v="32"/>
    <n v="4"/>
    <n v="2"/>
    <n v="1"/>
  </r>
  <r>
    <s v="bacb1f0ed56ad24198f5810d2b3fe9a5"/>
    <s v="jacarei"/>
    <x v="1"/>
    <n v="4.0750000000000002"/>
    <x v="29"/>
    <n v="31"/>
    <n v="3"/>
    <n v="6"/>
    <n v="1"/>
  </r>
  <r>
    <s v="bb135baca94c82fcb731335ad5b04a03"/>
    <s v="sao paulo"/>
    <x v="1"/>
    <n v="2.6578947368421"/>
    <x v="28"/>
    <n v="15"/>
    <n v="3"/>
    <n v="20"/>
    <n v="1"/>
  </r>
  <r>
    <s v="bba74270a87732727b5a3b4fd9ac1c39"/>
    <s v="betim"/>
    <x v="4"/>
    <n v="3.8048780487804801"/>
    <x v="45"/>
    <n v="27"/>
    <n v="4"/>
    <n v="10"/>
    <n v="1"/>
  </r>
  <r>
    <s v="bbad7e518d7af88a0897397ffdca1979"/>
    <s v="sao paulo"/>
    <x v="1"/>
    <n v="3.0357142857142798"/>
    <x v="130"/>
    <n v="42"/>
    <n v="4"/>
    <n v="38"/>
    <n v="1"/>
  </r>
  <r>
    <s v="bc2ac6b95e1accce9858528ee566c17e"/>
    <s v="campinas"/>
    <x v="1"/>
    <n v="4.6363636363636296"/>
    <x v="18"/>
    <n v="20"/>
    <n v="0"/>
    <n v="2"/>
    <n v="1"/>
  </r>
  <r>
    <s v="bc47d5d1490df2b36add65d733eafaba"/>
    <s v="santo andre"/>
    <x v="1"/>
    <n v="3.28"/>
    <x v="46"/>
    <n v="14"/>
    <n v="2"/>
    <n v="9"/>
    <n v="1"/>
  </r>
  <r>
    <s v="bccf933e006e9b94a6184af782963e77"/>
    <s v="assis"/>
    <x v="1"/>
    <n v="4.5333333333333297"/>
    <x v="101"/>
    <n v="41"/>
    <n v="1"/>
    <n v="3"/>
    <n v="1"/>
  </r>
  <r>
    <s v="bd0389da23d89b726abf911cccc54596"/>
    <s v="brasilia"/>
    <x v="10"/>
    <n v="4.2"/>
    <x v="14"/>
    <n v="70"/>
    <n v="10"/>
    <n v="10"/>
    <n v="1"/>
  </r>
  <r>
    <s v="bd23da7354813347129d751591d1a6e2"/>
    <s v="sao paulo"/>
    <x v="1"/>
    <n v="4.0333333333333297"/>
    <x v="14"/>
    <n v="68"/>
    <n v="6"/>
    <n v="16"/>
    <n v="1"/>
  </r>
  <r>
    <s v="bd4889b5e9133b35b66e42a8665cea5c"/>
    <s v="sao paulo"/>
    <x v="1"/>
    <n v="4.4634146341463401"/>
    <x v="45"/>
    <n v="35"/>
    <n v="3"/>
    <n v="3"/>
    <n v="1"/>
  </r>
  <r>
    <s v="bd697db56ff8e7c9cd1abeb7f72029b2"/>
    <s v="sao paulo"/>
    <x v="1"/>
    <n v="4.1818181818181799"/>
    <x v="18"/>
    <n v="18"/>
    <n v="1"/>
    <n v="3"/>
    <n v="1"/>
  </r>
  <r>
    <s v="beadbee30901a7f61d031b6b686095ad"/>
    <s v="guarulhos"/>
    <x v="1"/>
    <n v="3.9411764705882302"/>
    <x v="150"/>
    <n v="50"/>
    <n v="6"/>
    <n v="12"/>
    <n v="1"/>
  </r>
  <r>
    <s v="bf00385a5f7fc1ef39a13c2e9ee50a5f"/>
    <s v="sao paulo"/>
    <x v="1"/>
    <n v="4.3103448275862002"/>
    <x v="83"/>
    <n v="25"/>
    <n v="1"/>
    <n v="3"/>
    <n v="1"/>
  </r>
  <r>
    <s v="bf3c6d2a28b2b5501e6c15448982dcc9"/>
    <s v="sao paulo"/>
    <x v="1"/>
    <n v="4.4186046511627897"/>
    <x v="12"/>
    <n v="37"/>
    <n v="3"/>
    <n v="3"/>
    <n v="1"/>
  </r>
  <r>
    <s v="bf84056e679dbe9c69929847a40e338f"/>
    <s v="sao paulo"/>
    <x v="1"/>
    <n v="3.7250000000000001"/>
    <x v="29"/>
    <n v="24"/>
    <n v="9"/>
    <n v="7"/>
    <n v="1"/>
  </r>
  <r>
    <s v="bfd27a966d91cfaafdb25d076585f0da"/>
    <s v="serra negra"/>
    <x v="1"/>
    <n v="4.2844827586206797"/>
    <x v="154"/>
    <n v="97"/>
    <n v="6"/>
    <n v="13"/>
    <n v="1"/>
  </r>
  <r>
    <s v="c003204e1ab016dfa150abc119207b24"/>
    <s v="cajamar"/>
    <x v="1"/>
    <n v="4.4228855721393003"/>
    <x v="204"/>
    <n v="178"/>
    <n v="11"/>
    <n v="12"/>
    <n v="1"/>
  </r>
  <r>
    <s v="c013e57c075a06e5b5c48ee03c525719"/>
    <s v="sao carlos"/>
    <x v="1"/>
    <n v="4.1555555555555497"/>
    <x v="101"/>
    <n v="32"/>
    <n v="9"/>
    <n v="4"/>
    <n v="1"/>
  </r>
  <r>
    <s v="c0563dd588b775f2e37747ef6ad6c92c"/>
    <s v="santo andre"/>
    <x v="1"/>
    <n v="4.3571428571428497"/>
    <x v="16"/>
    <n v="24"/>
    <n v="0"/>
    <n v="4"/>
    <n v="1"/>
  </r>
  <r>
    <s v="c31eff8334d6b3047ed34bebd4d62c36"/>
    <s v="salto"/>
    <x v="1"/>
    <n v="3.85245901639344"/>
    <x v="147"/>
    <n v="85"/>
    <n v="15"/>
    <n v="22"/>
    <n v="1"/>
  </r>
  <r>
    <s v="c33847515fa6305ce6feb1e818569f13"/>
    <s v="brusque"/>
    <x v="3"/>
    <n v="3.71875"/>
    <x v="143"/>
    <n v="85"/>
    <n v="11"/>
    <n v="32"/>
    <n v="1"/>
  </r>
  <r>
    <s v="c35672b10ad50968f567ea3f4b91e877"/>
    <s v="mesquita"/>
    <x v="5"/>
    <n v="4.4545454545454497"/>
    <x v="18"/>
    <n v="19"/>
    <n v="2"/>
    <n v="1"/>
    <n v="1"/>
  </r>
  <r>
    <s v="c3867b4666c7d76867627c2f7fb22e21"/>
    <s v="guara"/>
    <x v="1"/>
    <n v="3.85328185328185"/>
    <x v="205"/>
    <n v="180"/>
    <n v="21"/>
    <n v="58"/>
    <n v="1"/>
  </r>
  <r>
    <s v="c3cfdc648177fdbbbb35635a37472c53"/>
    <s v="curitiba"/>
    <x v="2"/>
    <n v="4.4472843450479198"/>
    <x v="206"/>
    <n v="270"/>
    <n v="17"/>
    <n v="26"/>
    <n v="1"/>
  </r>
  <r>
    <s v="c60b801f2d52c7f7f91de00870882a75"/>
    <s v="guarulhos"/>
    <x v="1"/>
    <n v="3.3170731707317"/>
    <x v="45"/>
    <n v="23"/>
    <n v="5"/>
    <n v="13"/>
    <n v="1"/>
  </r>
  <r>
    <s v="c6381d2d013342748761e906d45aff76"/>
    <s v="portao"/>
    <x v="6"/>
    <n v="3"/>
    <x v="16"/>
    <n v="14"/>
    <n v="0"/>
    <n v="14"/>
    <n v="1"/>
  </r>
  <r>
    <s v="c66dccfb3f109511246da627dd5a2498"/>
    <s v="registro"/>
    <x v="1"/>
    <n v="4.48888888888888"/>
    <x v="101"/>
    <n v="39"/>
    <n v="2"/>
    <n v="4"/>
    <n v="1"/>
  </r>
  <r>
    <s v="c68fb906c8f4b4b946d8386bfa6e5467"/>
    <s v="jaboticabal"/>
    <x v="1"/>
    <n v="4.5106382978723403"/>
    <x v="58"/>
    <n v="42"/>
    <n v="2"/>
    <n v="3"/>
    <n v="1"/>
  </r>
  <r>
    <s v="c6bda72e4dbf5c5866b13cb1810c6d03"/>
    <s v="sao paulo"/>
    <x v="1"/>
    <n v="4.3833333333333302"/>
    <x v="22"/>
    <n v="52"/>
    <n v="3"/>
    <n v="5"/>
    <n v="1"/>
  </r>
  <r>
    <s v="c70c1b0d8ca86052f45a432a38b73958"/>
    <s v="hortolandia"/>
    <x v="1"/>
    <n v="4.3014925373134298"/>
    <x v="207"/>
    <n v="276"/>
    <n v="21"/>
    <n v="38"/>
    <n v="1"/>
  </r>
  <r>
    <s v="c72de06d72748d1a0dfb2125be43ba63"/>
    <s v="guanambi"/>
    <x v="12"/>
    <n v="4.4545454545454497"/>
    <x v="18"/>
    <n v="19"/>
    <n v="2"/>
    <n v="1"/>
    <n v="1"/>
  </r>
  <r>
    <s v="c731d18cea9bf687ffee82a241c25b11"/>
    <s v="concordia"/>
    <x v="3"/>
    <n v="3.96"/>
    <x v="46"/>
    <n v="19"/>
    <n v="0"/>
    <n v="6"/>
    <n v="1"/>
  </r>
  <r>
    <s v="c826c40d7b19f62a09e2d7c5e7295ee2"/>
    <s v="guarulhos"/>
    <x v="1"/>
    <n v="4.0431266846361096"/>
    <x v="208"/>
    <n v="293"/>
    <n v="16"/>
    <n v="62"/>
    <n v="1"/>
  </r>
  <r>
    <s v="c8417879a15366a17c30af34c798c332"/>
    <s v="sao paulo"/>
    <x v="1"/>
    <n v="4.0285714285714196"/>
    <x v="55"/>
    <n v="27"/>
    <n v="2"/>
    <n v="6"/>
    <n v="1"/>
  </r>
  <r>
    <s v="c8467937e403e76a8ee9f0ab13f6f5ef"/>
    <s v="pocos de caldas"/>
    <x v="4"/>
    <n v="4.1333333333333302"/>
    <x v="11"/>
    <n v="25"/>
    <n v="1"/>
    <n v="4"/>
    <n v="1"/>
  </r>
  <r>
    <s v="c847e075301870dd144a116762eaff9a"/>
    <s v="uberaba"/>
    <x v="4"/>
    <n v="4.1666666666666599"/>
    <x v="53"/>
    <n v="34"/>
    <n v="2"/>
    <n v="6"/>
    <n v="1"/>
  </r>
  <r>
    <s v="c864036feaab8c1659f65ea4faebe1da"/>
    <s v="campo largo"/>
    <x v="2"/>
    <n v="4.5689655172413701"/>
    <x v="63"/>
    <n v="53"/>
    <n v="2"/>
    <n v="3"/>
    <n v="1"/>
  </r>
  <r>
    <s v="c8b0e2b0a7095e5d8219575d5e7e1181"/>
    <s v="itaquaquecetuba"/>
    <x v="1"/>
    <n v="4.0476190476190403"/>
    <x v="130"/>
    <n v="64"/>
    <n v="7"/>
    <n v="13"/>
    <n v="1"/>
  </r>
  <r>
    <s v="c8b3445d737de6befde0c88ede534a5e"/>
    <s v="sao paulo"/>
    <x v="1"/>
    <n v="3.9722222222222201"/>
    <x v="92"/>
    <n v="26"/>
    <n v="3"/>
    <n v="7"/>
    <n v="1"/>
  </r>
  <r>
    <s v="c9aafcd0621b2207c10e32c649cada4d"/>
    <s v="sao paulo"/>
    <x v="1"/>
    <n v="4.0192307692307603"/>
    <x v="47"/>
    <n v="43"/>
    <n v="0"/>
    <n v="9"/>
    <n v="1"/>
  </r>
  <r>
    <s v="c9c7905cffc4ef9ff9f113554423e671"/>
    <s v="itapecerica da serra"/>
    <x v="1"/>
    <n v="4.1642857142857101"/>
    <x v="209"/>
    <n v="114"/>
    <n v="11"/>
    <n v="15"/>
    <n v="1"/>
  </r>
  <r>
    <s v="ca3bd7cd9f149df75950150d010fe4a2"/>
    <s v="sao paulo"/>
    <x v="1"/>
    <n v="3.72463768115942"/>
    <x v="81"/>
    <n v="96"/>
    <n v="12"/>
    <n v="30"/>
    <n v="1"/>
  </r>
  <r>
    <s v="cab85505710c7cb9b720bceb52b01cee"/>
    <s v="sao paulo"/>
    <x v="1"/>
    <n v="4.2857142857142803"/>
    <x v="210"/>
    <n v="173"/>
    <n v="21"/>
    <n v="16"/>
    <n v="1"/>
  </r>
  <r>
    <s v="cac4c8e7b1ca6252d8f20b2fc1a2e4af"/>
    <s v="indaiatuba"/>
    <x v="1"/>
    <n v="3.5180722891566201"/>
    <x v="98"/>
    <n v="51"/>
    <n v="8"/>
    <n v="24"/>
    <n v="1"/>
  </r>
  <r>
    <s v="cac876b37d3abcd6bd76caca30277996"/>
    <s v="cascavel"/>
    <x v="2"/>
    <n v="4.5625"/>
    <x v="52"/>
    <n v="29"/>
    <n v="2"/>
    <n v="1"/>
    <n v="1"/>
  </r>
  <r>
    <s v="cb3dd9ce66268c7a3ca7241ac70ab58c"/>
    <s v="sao paulo"/>
    <x v="1"/>
    <n v="4.2"/>
    <x v="54"/>
    <n v="44"/>
    <n v="4"/>
    <n v="7"/>
    <n v="1"/>
  </r>
  <r>
    <s v="cb8bcce248bb1fb274ba762d8b971456"/>
    <s v="santa rita do sapucai"/>
    <x v="4"/>
    <n v="4.2608695652173898"/>
    <x v="201"/>
    <n v="60"/>
    <n v="4"/>
    <n v="5"/>
    <n v="1"/>
  </r>
  <r>
    <s v="cbd996ad3c1b7dc71fd0e5f5df9087e2"/>
    <s v="sao jose do rio preto"/>
    <x v="1"/>
    <n v="4.0810810810810798"/>
    <x v="175"/>
    <n v="143"/>
    <n v="16"/>
    <n v="26"/>
    <n v="1"/>
  </r>
  <r>
    <s v="cc3d14116804f7209f3884f6367f1152"/>
    <s v="curitiba"/>
    <x v="2"/>
    <n v="4.6666666666666599"/>
    <x v="11"/>
    <n v="29"/>
    <n v="0"/>
    <n v="1"/>
    <n v="1"/>
  </r>
  <r>
    <s v="cc419e0650a3c5ba77189a1882b7556a"/>
    <s v="santo andre"/>
    <x v="1"/>
    <n v="4.0695748205411304"/>
    <x v="211"/>
    <n v="1371"/>
    <n v="168"/>
    <n v="272"/>
    <n v="1"/>
  </r>
  <r>
    <s v="cc5a78bbad32776dc4e3af205218368c"/>
    <s v="divinopolis"/>
    <x v="4"/>
    <n v="4.4736842105263097"/>
    <x v="28"/>
    <n v="33"/>
    <n v="2"/>
    <n v="3"/>
    <n v="1"/>
  </r>
  <r>
    <s v="cc63f0dd2acba93ffed4fe9f8e0321fa"/>
    <s v="sao jose do rio preto"/>
    <x v="1"/>
    <n v="4.0476190476190403"/>
    <x v="21"/>
    <n v="46"/>
    <n v="11"/>
    <n v="6"/>
    <n v="1"/>
  </r>
  <r>
    <s v="cca3071e3e9bb7d12640c9fbe2301306"/>
    <s v="ibitinga"/>
    <x v="1"/>
    <n v="3.85198555956678"/>
    <x v="212"/>
    <n v="571"/>
    <n v="95"/>
    <n v="165"/>
    <n v="1"/>
  </r>
  <r>
    <s v="ccc4bbb5f32a6ab2b7066a4130f114e3"/>
    <s v="curitiba"/>
    <x v="2"/>
    <n v="4.2827225130890003"/>
    <x v="213"/>
    <n v="159"/>
    <n v="10"/>
    <n v="22"/>
    <n v="1"/>
  </r>
  <r>
    <s v="cce6ab8d1682639fe45ab70234f1665f"/>
    <s v="curitiba"/>
    <x v="1"/>
    <n v="4.4393939393939297"/>
    <x v="7"/>
    <n v="57"/>
    <n v="4"/>
    <n v="5"/>
    <n v="1"/>
  </r>
  <r>
    <s v="ccf8813e5a7d6c84d865cd38bfc2b130"/>
    <s v="taubate"/>
    <x v="1"/>
    <n v="4.3846153846153797"/>
    <x v="3"/>
    <n v="22"/>
    <n v="1"/>
    <n v="3"/>
    <n v="1"/>
  </r>
  <r>
    <s v="cd06602b43d8800bd0afad514919d35c"/>
    <s v="sao paulo"/>
    <x v="1"/>
    <n v="3.6792452830188598"/>
    <x v="91"/>
    <n v="34"/>
    <n v="5"/>
    <n v="14"/>
    <n v="1"/>
  </r>
  <r>
    <s v="cd68562d3f44870c08922d380acae552"/>
    <s v="ribeirao preto"/>
    <x v="1"/>
    <n v="3.8396946564885401"/>
    <x v="198"/>
    <n v="93"/>
    <n v="10"/>
    <n v="28"/>
    <n v="1"/>
  </r>
  <r>
    <s v="cd6efc47efaabf134f8bdb654e10b4f1"/>
    <s v="rio de janeiro"/>
    <x v="5"/>
    <n v="4.5"/>
    <x v="52"/>
    <n v="29"/>
    <n v="1"/>
    <n v="2"/>
    <n v="1"/>
  </r>
  <r>
    <s v="ce248b21cb2adc36282ede306b7660e5"/>
    <s v="jaragua do sul"/>
    <x v="3"/>
    <n v="4.2089552238805901"/>
    <x v="69"/>
    <n v="55"/>
    <n v="3"/>
    <n v="9"/>
    <n v="1"/>
  </r>
  <r>
    <s v="ce27a3cc3c8cc1ea79d11e561e9bebb6"/>
    <s v="sao paulo"/>
    <x v="1"/>
    <n v="3.8652482269503499"/>
    <x v="5"/>
    <n v="102"/>
    <n v="10"/>
    <n v="29"/>
    <n v="1"/>
  </r>
  <r>
    <s v="ce616e1913288884e7742faac9d981db"/>
    <s v="cotia"/>
    <x v="1"/>
    <n v="4.6666666666666599"/>
    <x v="10"/>
    <n v="21"/>
    <n v="3"/>
    <n v="0"/>
    <n v="1"/>
  </r>
  <r>
    <s v="ce7d1888639e6fb06b2749cbfdac1ff7"/>
    <s v="baependi"/>
    <x v="4"/>
    <n v="4.1071428571428497"/>
    <x v="130"/>
    <n v="65"/>
    <n v="3"/>
    <n v="16"/>
    <n v="1"/>
  </r>
  <r>
    <s v="cea729054f157f5870bdd321a958d994"/>
    <s v="sao paulo"/>
    <x v="1"/>
    <n v="4.1923076923076898"/>
    <x v="3"/>
    <n v="21"/>
    <n v="2"/>
    <n v="3"/>
    <n v="1"/>
  </r>
  <r>
    <s v="ceaec5548eefc6e23e6607c5435102e7"/>
    <s v="sao paulo"/>
    <x v="1"/>
    <n v="4.14975845410628"/>
    <x v="214"/>
    <n v="164"/>
    <n v="18"/>
    <n v="25"/>
    <n v="1"/>
  </r>
  <r>
    <s v="cee48807215b30a12ca2ca10ffb5f250"/>
    <s v="guaruja"/>
    <x v="1"/>
    <n v="3.7"/>
    <x v="29"/>
    <n v="26"/>
    <n v="4"/>
    <n v="10"/>
    <n v="1"/>
  </r>
  <r>
    <s v="cfa5ab0e4d3fc212fd0b3410e7081c62"/>
    <s v="uba"/>
    <x v="4"/>
    <n v="3.5238095238095202"/>
    <x v="33"/>
    <n v="10"/>
    <n v="7"/>
    <n v="4"/>
    <n v="1"/>
  </r>
  <r>
    <s v="cfb1a033743668a192316f3c6d1d2671"/>
    <s v="votorantim"/>
    <x v="1"/>
    <n v="3.9308510638297798"/>
    <x v="180"/>
    <n v="136"/>
    <n v="15"/>
    <n v="37"/>
    <n v="1"/>
  </r>
  <r>
    <s v="cfe94489ddd337d1e29e12f2a7205d10"/>
    <s v="sao paulo"/>
    <x v="1"/>
    <n v="4.125"/>
    <x v="10"/>
    <n v="20"/>
    <n v="2"/>
    <n v="2"/>
    <n v="1"/>
  </r>
  <r>
    <s v="d03698c2efd04a549382afa6623e27fb"/>
    <s v="ilheus"/>
    <x v="12"/>
    <n v="4.5238095238095202"/>
    <x v="33"/>
    <n v="20"/>
    <n v="0"/>
    <n v="1"/>
    <n v="1"/>
  </r>
  <r>
    <s v="d05ae8f7a5bd1d2a690a44cd079e4e27"/>
    <s v="rio de janeiro"/>
    <x v="5"/>
    <n v="3.7875000000000001"/>
    <x v="158"/>
    <n v="59"/>
    <n v="2"/>
    <n v="19"/>
    <n v="1"/>
  </r>
  <r>
    <s v="d12c926d74ceff0a90a21184466ce161"/>
    <s v="sao paulo"/>
    <x v="1"/>
    <n v="4.0891089108910803"/>
    <x v="115"/>
    <n v="77"/>
    <n v="9"/>
    <n v="15"/>
    <n v="1"/>
  </r>
  <r>
    <s v="d13e50eaa47b4cbe9eb81465865d8cfc"/>
    <s v="santo andre"/>
    <x v="1"/>
    <n v="4.8115942028985499"/>
    <x v="201"/>
    <n v="67"/>
    <n v="0"/>
    <n v="2"/>
    <n v="1"/>
  </r>
  <r>
    <s v="d1b65fc7debc3361ea86b5f14c68d2e2"/>
    <s v="mogi guacu"/>
    <x v="1"/>
    <n v="4.5609756097560901"/>
    <x v="45"/>
    <n v="38"/>
    <n v="1"/>
    <n v="2"/>
    <n v="1"/>
  </r>
  <r>
    <s v="d1c281d3ae149232351cd8c8cc885f0d"/>
    <s v="ibitinga"/>
    <x v="1"/>
    <n v="3.8137651821862302"/>
    <x v="215"/>
    <n v="175"/>
    <n v="17"/>
    <n v="55"/>
    <n v="1"/>
  </r>
  <r>
    <s v="d1ef48b38baca7e831711c4a0aeb398f"/>
    <s v="apucarana"/>
    <x v="2"/>
    <n v="4.4285714285714199"/>
    <x v="55"/>
    <n v="32"/>
    <n v="2"/>
    <n v="1"/>
    <n v="1"/>
  </r>
  <r>
    <s v="d20b021d3efdf267a402c402a48ea64b"/>
    <s v="ibitinga"/>
    <x v="1"/>
    <n v="3.6509433962264102"/>
    <x v="196"/>
    <n v="67"/>
    <n v="13"/>
    <n v="26"/>
    <n v="1"/>
  </r>
  <r>
    <s v="d23019c84ffae2d5ef2270367b8605fc"/>
    <s v="londrina"/>
    <x v="2"/>
    <n v="4.4102564102564097"/>
    <x v="6"/>
    <n v="35"/>
    <n v="2"/>
    <n v="2"/>
    <n v="1"/>
  </r>
  <r>
    <s v="d2374cbcbb3ca4ab1086534108cc3ab7"/>
    <s v="ibitinga"/>
    <x v="1"/>
    <n v="3.63636363636363"/>
    <x v="216"/>
    <n v="403"/>
    <n v="87"/>
    <n v="159"/>
    <n v="1"/>
  </r>
  <r>
    <s v="d25aa0aaacb370e912f8cf6efeba38b3"/>
    <s v="massaranduba"/>
    <x v="3"/>
    <n v="4.5238095238095202"/>
    <x v="33"/>
    <n v="19"/>
    <n v="1"/>
    <n v="1"/>
    <n v="1"/>
  </r>
  <r>
    <s v="d3674f271c91f824f82d24d92011f669"/>
    <s v="brasilia"/>
    <x v="10"/>
    <n v="4.0999999999999996"/>
    <x v="35"/>
    <n v="15"/>
    <n v="2"/>
    <n v="3"/>
    <n v="1"/>
  </r>
  <r>
    <s v="d379f449f2a3b271bc01c0782020f705"/>
    <s v="divinopolis"/>
    <x v="4"/>
    <n v="3.9310344827586201"/>
    <x v="83"/>
    <n v="21"/>
    <n v="2"/>
    <n v="6"/>
    <n v="1"/>
  </r>
  <r>
    <s v="d3f39f05462b79a4562d35893a28f159"/>
    <s v="mococa"/>
    <x v="1"/>
    <n v="3.3684210526315699"/>
    <x v="28"/>
    <n v="22"/>
    <n v="1"/>
    <n v="15"/>
    <n v="1"/>
  </r>
  <r>
    <s v="d4e12e7884759a14fa0f5f896c791cae"/>
    <s v="sao paulo"/>
    <x v="1"/>
    <n v="4.625"/>
    <x v="52"/>
    <n v="30"/>
    <n v="0"/>
    <n v="2"/>
    <n v="1"/>
  </r>
  <r>
    <s v="d50d79cb34e38265a8649c383dcffd48"/>
    <s v="sao paulo"/>
    <x v="1"/>
    <n v="4.2463768115942004"/>
    <x v="201"/>
    <n v="58"/>
    <n v="5"/>
    <n v="6"/>
    <n v="1"/>
  </r>
  <r>
    <s v="d51e0a403fe2e689ece6c73359d96e12"/>
    <s v="pompeia"/>
    <x v="1"/>
    <n v="4.2307692307692299"/>
    <x v="3"/>
    <n v="20"/>
    <n v="4"/>
    <n v="2"/>
    <n v="1"/>
  </r>
  <r>
    <s v="d566c37fa119d5e66c4e9052e83ee4ea"/>
    <s v="sao paulo"/>
    <x v="1"/>
    <n v="4.7183098591549202"/>
    <x v="141"/>
    <n v="69"/>
    <n v="0"/>
    <n v="2"/>
    <n v="1"/>
  </r>
  <r>
    <s v="d57e18d5f73c7ccb7f7339b61166898d"/>
    <s v="sao paulo"/>
    <x v="1"/>
    <n v="4.4444444444444402"/>
    <x v="21"/>
    <n v="55"/>
    <n v="3"/>
    <n v="5"/>
    <n v="1"/>
  </r>
  <r>
    <s v="d5ba419e26d246a0719437cf37d9b46d"/>
    <s v="sao paulo"/>
    <x v="1"/>
    <n v="3.8235294117646998"/>
    <x v="71"/>
    <n v="23"/>
    <n v="4"/>
    <n v="7"/>
    <n v="1"/>
  </r>
  <r>
    <s v="d624126b9206f595fb3fbb6ba03b28a8"/>
    <s v="curitiba"/>
    <x v="2"/>
    <n v="4.3333333333333304"/>
    <x v="34"/>
    <n v="21"/>
    <n v="6"/>
    <n v="0"/>
    <n v="1"/>
  </r>
  <r>
    <s v="d650b663c3b5f6fb392b6326366efa9a"/>
    <s v="cotia"/>
    <x v="1"/>
    <n v="4.2"/>
    <x v="22"/>
    <n v="46"/>
    <n v="7"/>
    <n v="7"/>
    <n v="1"/>
  </r>
  <r>
    <s v="d66c305afaec317ebee552073a674429"/>
    <s v="ribeirao das neves"/>
    <x v="4"/>
    <n v="4.3958333333333304"/>
    <x v="79"/>
    <n v="39"/>
    <n v="5"/>
    <n v="4"/>
    <n v="1"/>
  </r>
  <r>
    <s v="d673a59aac7a70d8b01e6902bf090a11"/>
    <s v="ibitinga"/>
    <x v="1"/>
    <n v="3.9764705882352902"/>
    <x v="62"/>
    <n v="64"/>
    <n v="9"/>
    <n v="12"/>
    <n v="1"/>
  </r>
  <r>
    <s v="d6b1ce66b035a475f00c017792ff9769"/>
    <s v="salto"/>
    <x v="1"/>
    <n v="4.1650485436893199"/>
    <x v="59"/>
    <n v="80"/>
    <n v="10"/>
    <n v="13"/>
    <n v="1"/>
  </r>
  <r>
    <s v="d71d863e5ef30d94e440c11be17dcd8f"/>
    <s v="osasco"/>
    <x v="1"/>
    <n v="3.24242424242424"/>
    <x v="74"/>
    <n v="16"/>
    <n v="4"/>
    <n v="13"/>
    <n v="1"/>
  </r>
  <r>
    <s v="d8c7ba53e7e38711eaef8c2849d6d2e1"/>
    <s v="floresta"/>
    <x v="2"/>
    <n v="4.5"/>
    <x v="18"/>
    <n v="18"/>
    <n v="4"/>
    <n v="0"/>
    <n v="1"/>
  </r>
  <r>
    <s v="d91fb3b7d041e83b64a00a3edfb37e4f"/>
    <s v="praia grande"/>
    <x v="1"/>
    <n v="4.0980392156862697"/>
    <x v="217"/>
    <n v="433"/>
    <n v="46"/>
    <n v="82"/>
    <n v="1"/>
  </r>
  <r>
    <s v="d921b68bf747894be13a97ae52b0f386"/>
    <s v="formiga"/>
    <x v="4"/>
    <n v="4.5584415584415501"/>
    <x v="37"/>
    <n v="68"/>
    <n v="5"/>
    <n v="4"/>
    <n v="1"/>
  </r>
  <r>
    <s v="d93919c944be9cff128f6c9cb899eacb"/>
    <s v="mombuca"/>
    <x v="1"/>
    <n v="4"/>
    <x v="74"/>
    <n v="24"/>
    <n v="3"/>
    <n v="6"/>
    <n v="1"/>
  </r>
  <r>
    <s v="d9442042130b7fe579d1295f9f4a248f"/>
    <s v="sao paulo"/>
    <x v="1"/>
    <n v="4.2272727272727204"/>
    <x v="18"/>
    <n v="18"/>
    <n v="1"/>
    <n v="3"/>
    <n v="1"/>
  </r>
  <r>
    <s v="d94a40fd42351c259927028d163af842"/>
    <s v="baependi"/>
    <x v="4"/>
    <n v="4.1028037383177498"/>
    <x v="218"/>
    <n v="79"/>
    <n v="14"/>
    <n v="14"/>
    <n v="1"/>
  </r>
  <r>
    <s v="d97df38225e5abadaff1e72cb72b823c"/>
    <s v="sao caetano do sul"/>
    <x v="1"/>
    <n v="3.9259259259259198"/>
    <x v="34"/>
    <n v="19"/>
    <n v="2"/>
    <n v="6"/>
    <n v="1"/>
  </r>
  <r>
    <s v="d98eec89afa3380e14463da2aabaea72"/>
    <s v="porto alegre"/>
    <x v="6"/>
    <n v="4.2896174863387904"/>
    <x v="219"/>
    <n v="151"/>
    <n v="15"/>
    <n v="17"/>
    <n v="1"/>
  </r>
  <r>
    <s v="d9a84e1403de8da0c3aa531d6d108ba6"/>
    <s v="sao paulo"/>
    <x v="1"/>
    <n v="4.5593220338983"/>
    <x v="42"/>
    <n v="53"/>
    <n v="2"/>
    <n v="4"/>
    <n v="1"/>
  </r>
  <r>
    <s v="d9bd94811c3338dceb4181f3dbc0c73e"/>
    <s v="sao paulo"/>
    <x v="1"/>
    <n v="4.8196721311475397"/>
    <x v="68"/>
    <n v="59"/>
    <n v="0"/>
    <n v="2"/>
    <n v="1"/>
  </r>
  <r>
    <s v="da8622b14eb17ae2831f4ac5b9dab84a"/>
    <s v="piracicaba"/>
    <x v="1"/>
    <n v="4.0714285714285703"/>
    <x v="220"/>
    <n v="1199"/>
    <n v="134"/>
    <n v="235"/>
    <n v="1"/>
  </r>
  <r>
    <s v="daeb5653dd96c1b11860f72209795012"/>
    <s v="belo horizonte"/>
    <x v="4"/>
    <n v="4.0697674418604599"/>
    <x v="12"/>
    <n v="35"/>
    <n v="1"/>
    <n v="7"/>
    <n v="1"/>
  </r>
  <r>
    <s v="db2956745b3a8e9f3785c99f34b5d25e"/>
    <s v="sao sebastiao"/>
    <x v="1"/>
    <n v="3.7291666666666599"/>
    <x v="79"/>
    <n v="32"/>
    <n v="5"/>
    <n v="11"/>
    <n v="1"/>
  </r>
  <r>
    <s v="db4350fd57ae30082dec7acbaacc17f9"/>
    <s v="sao paulo"/>
    <x v="1"/>
    <n v="4.1241379310344799"/>
    <x v="170"/>
    <n v="116"/>
    <n v="10"/>
    <n v="19"/>
    <n v="1"/>
  </r>
  <r>
    <s v="dbb9b48c841a0e39e21f98e1a6b2ec3e"/>
    <s v="sao paulo"/>
    <x v="1"/>
    <n v="4.2033898305084696"/>
    <x v="221"/>
    <n v="94"/>
    <n v="9"/>
    <n v="15"/>
    <n v="1"/>
  </r>
  <r>
    <s v="dbc22125167c298ef99da25668e1011f"/>
    <s v="borda da mata"/>
    <x v="4"/>
    <n v="4.2261072261072199"/>
    <x v="87"/>
    <n v="341"/>
    <n v="45"/>
    <n v="43"/>
    <n v="1"/>
  </r>
  <r>
    <s v="dbd66278cbfe1aa1000f90a217ca4695"/>
    <s v="sao paulo"/>
    <x v="1"/>
    <n v="4.4545454545454497"/>
    <x v="114"/>
    <n v="91"/>
    <n v="5"/>
    <n v="3"/>
    <n v="1"/>
  </r>
  <r>
    <s v="dc317f341ab0e22f39acbd9dbf9b4a1f"/>
    <s v="cachoeirinha"/>
    <x v="6"/>
    <n v="4.1206896551724101"/>
    <x v="63"/>
    <n v="47"/>
    <n v="1"/>
    <n v="10"/>
    <n v="1"/>
  </r>
  <r>
    <s v="dc4a0fc896dc34b0d5bfec8438291c80"/>
    <s v="ibitinga"/>
    <x v="1"/>
    <n v="3.7441860465116199"/>
    <x v="222"/>
    <n v="171"/>
    <n v="30"/>
    <n v="57"/>
    <n v="1"/>
  </r>
  <r>
    <s v="dc8798cbf453b7e0f98745e396cc5616"/>
    <s v="sao paulo"/>
    <x v="1"/>
    <n v="3.1346153846153801"/>
    <x v="47"/>
    <n v="27"/>
    <n v="4"/>
    <n v="21"/>
    <n v="1"/>
  </r>
  <r>
    <s v="dd2bdf855a9172734fbc3744021ae9b9"/>
    <s v="belo horizonte"/>
    <x v="4"/>
    <n v="3.7962962962962901"/>
    <x v="179"/>
    <n v="70"/>
    <n v="17"/>
    <n v="21"/>
    <n v="1"/>
  </r>
  <r>
    <s v="dd533b429f380718b70ad9922c294bae"/>
    <s v="barretos"/>
    <x v="1"/>
    <n v="3.7333333333333298"/>
    <x v="101"/>
    <n v="31"/>
    <n v="6"/>
    <n v="8"/>
    <n v="1"/>
  </r>
  <r>
    <s v="dd55f1bb788714a40e7954c3be6df745"/>
    <s v="sao paulo"/>
    <x v="1"/>
    <n v="3.8108108108108101"/>
    <x v="77"/>
    <n v="24"/>
    <n v="6"/>
    <n v="7"/>
    <n v="1"/>
  </r>
  <r>
    <s v="dd7ddc04e1b6c2c614352b383efe2d36"/>
    <s v="sao paulo"/>
    <x v="1"/>
    <n v="3.76056338028169"/>
    <x v="36"/>
    <n v="97"/>
    <n v="16"/>
    <n v="29"/>
    <n v="1"/>
  </r>
  <r>
    <s v="ddd51ae8cda92f3995a51fc0f0f3eec7"/>
    <s v="rio de janeiro"/>
    <x v="5"/>
    <n v="4.5999999999999996"/>
    <x v="46"/>
    <n v="23"/>
    <n v="2"/>
    <n v="0"/>
    <n v="1"/>
  </r>
  <r>
    <s v="de23c3b98a88888289c6f5cc1209054a"/>
    <s v="sao paulo"/>
    <x v="1"/>
    <n v="4.2817679558010999"/>
    <x v="172"/>
    <n v="150"/>
    <n v="11"/>
    <n v="20"/>
    <n v="1"/>
  </r>
  <r>
    <s v="de722cd6dad950a92b7d4f82673f8833"/>
    <s v="recife"/>
    <x v="15"/>
    <n v="4.1591511936339502"/>
    <x v="223"/>
    <n v="312"/>
    <n v="16"/>
    <n v="49"/>
    <n v="1"/>
  </r>
  <r>
    <s v="dee656f0f566ed1aa85bd137c943f08f"/>
    <s v="cruzeiro"/>
    <x v="1"/>
    <n v="4.3829787234042499"/>
    <x v="13"/>
    <n v="81"/>
    <n v="6"/>
    <n v="7"/>
    <n v="1"/>
  </r>
  <r>
    <s v="df560393f3a51e74553ab94004ba5c87"/>
    <s v="loanda"/>
    <x v="2"/>
    <n v="3.72413793103448"/>
    <x v="83"/>
    <n v="19"/>
    <n v="6"/>
    <n v="4"/>
    <n v="1"/>
  </r>
  <r>
    <s v="df56d7b40d437f88407c5f78b63bc328"/>
    <s v="cascavel"/>
    <x v="2"/>
    <n v="3.88"/>
    <x v="46"/>
    <n v="18"/>
    <n v="2"/>
    <n v="5"/>
    <n v="1"/>
  </r>
  <r>
    <s v="dfa0c4c6229ab200a4a1336b4d7128ff"/>
    <s v="florianopolis"/>
    <x v="3"/>
    <n v="4.0116279069767398"/>
    <x v="224"/>
    <n v="65"/>
    <n v="5"/>
    <n v="16"/>
    <n v="1"/>
  </r>
  <r>
    <s v="dfc475d54e1b6dbeeb7d7d9bdaa63827"/>
    <s v="curitiba"/>
    <x v="2"/>
    <n v="4.3809523809523796"/>
    <x v="33"/>
    <n v="18"/>
    <n v="0"/>
    <n v="3"/>
    <n v="1"/>
  </r>
  <r>
    <s v="dfc5fb7259bb2b599ca565e6e9448f0f"/>
    <s v="sao bernardo do campo"/>
    <x v="1"/>
    <n v="4.1176470588235201"/>
    <x v="71"/>
    <n v="27"/>
    <n v="4"/>
    <n v="3"/>
    <n v="1"/>
  </r>
  <r>
    <s v="e067ad2c1c0b48758eb1b5228bcf7a68"/>
    <s v="santos"/>
    <x v="1"/>
    <n v="4.1311475409835996"/>
    <x v="68"/>
    <n v="48"/>
    <n v="6"/>
    <n v="7"/>
    <n v="1"/>
  </r>
  <r>
    <s v="e06f09ec0a4aca210779cf1cfc63cf19"/>
    <s v="sao paulo"/>
    <x v="1"/>
    <n v="4.0303030303030303"/>
    <x v="74"/>
    <n v="23"/>
    <n v="5"/>
    <n v="5"/>
    <n v="1"/>
  </r>
  <r>
    <s v="e0878efa0e0b7e5313ac0b43bc04c081"/>
    <s v="curitiba"/>
    <x v="2"/>
    <n v="3.4666666666666601"/>
    <x v="11"/>
    <n v="19"/>
    <n v="2"/>
    <n v="9"/>
    <n v="1"/>
  </r>
  <r>
    <s v="e0a366315b1b726b6c7832d664c0f530"/>
    <s v="sao paulo"/>
    <x v="1"/>
    <n v="4.3333333333333304"/>
    <x v="86"/>
    <n v="43"/>
    <n v="1"/>
    <n v="7"/>
    <n v="1"/>
  </r>
  <r>
    <s v="e21a1e8be4715b0fcfd5385643bc49c4"/>
    <s v="jaguaruna"/>
    <x v="3"/>
    <n v="3.6666666666666599"/>
    <x v="10"/>
    <n v="14"/>
    <n v="4"/>
    <n v="6"/>
    <n v="1"/>
  </r>
  <r>
    <s v="e24d3429d294b2eb200b064ebb035879"/>
    <s v="sao paulo"/>
    <x v="1"/>
    <n v="4.1363636363636296"/>
    <x v="18"/>
    <n v="18"/>
    <n v="1"/>
    <n v="3"/>
    <n v="1"/>
  </r>
  <r>
    <s v="e24fc9fcd865784fb25705606fe3dfe7"/>
    <s v="braganca paulista"/>
    <x v="1"/>
    <n v="4.1964285714285703"/>
    <x v="1"/>
    <n v="45"/>
    <n v="5"/>
    <n v="6"/>
    <n v="1"/>
  </r>
  <r>
    <s v="e250d617a0ad591ba9bd663e584a895d"/>
    <s v="guarulhos"/>
    <x v="1"/>
    <n v="2.8"/>
    <x v="35"/>
    <n v="8"/>
    <n v="0"/>
    <n v="12"/>
    <n v="1"/>
  </r>
  <r>
    <s v="e26901d5ab434ce92fd9b5c256820a4e"/>
    <s v="maua"/>
    <x v="1"/>
    <n v="4.0588235294117601"/>
    <x v="225"/>
    <n v="172"/>
    <n v="18"/>
    <n v="31"/>
    <n v="1"/>
  </r>
  <r>
    <s v="e2aee0892199b1d92530e371abd825bf"/>
    <s v="rolandia"/>
    <x v="2"/>
    <n v="3.8048780487804801"/>
    <x v="45"/>
    <n v="28"/>
    <n v="3"/>
    <n v="10"/>
    <n v="1"/>
  </r>
  <r>
    <s v="e333046ce6517bd8bb510291d44f0130"/>
    <s v="ipaussu"/>
    <x v="1"/>
    <n v="4.3918918918918903"/>
    <x v="43"/>
    <n v="63"/>
    <n v="5"/>
    <n v="6"/>
    <n v="1"/>
  </r>
  <r>
    <s v="e38db885400cd35c71dfd162f2c1dbcf"/>
    <s v="brasilia"/>
    <x v="10"/>
    <n v="4.5"/>
    <x v="52"/>
    <n v="28"/>
    <n v="2"/>
    <n v="2"/>
    <n v="1"/>
  </r>
  <r>
    <s v="e48b04bf1aa1ef711caebeb7aede6180"/>
    <s v="curitiba"/>
    <x v="2"/>
    <n v="4.4800000000000004"/>
    <x v="46"/>
    <n v="23"/>
    <n v="0"/>
    <n v="2"/>
    <n v="1"/>
  </r>
  <r>
    <s v="e49c26c3edfa46d227d5121a6b6e4d37"/>
    <s v="brejao"/>
    <x v="15"/>
    <n v="4.4166666666666599"/>
    <x v="92"/>
    <n v="30"/>
    <n v="3"/>
    <n v="3"/>
    <n v="1"/>
  </r>
  <r>
    <s v="e59aa562b9f8076dd550fcddf0e73491"/>
    <s v="curitiba"/>
    <x v="2"/>
    <n v="4.25"/>
    <x v="130"/>
    <n v="73"/>
    <n v="2"/>
    <n v="9"/>
    <n v="1"/>
  </r>
  <r>
    <s v="e5a3438891c0bfdb9394643f95273d8e"/>
    <s v="limeira"/>
    <x v="1"/>
    <n v="3.81496062992125"/>
    <x v="226"/>
    <n v="174"/>
    <n v="23"/>
    <n v="57"/>
    <n v="1"/>
  </r>
  <r>
    <s v="e5a38146df062edaf55c38afa99e42dc"/>
    <s v="sao paulo"/>
    <x v="1"/>
    <n v="3.9523809523809499"/>
    <x v="97"/>
    <n v="94"/>
    <n v="10"/>
    <n v="22"/>
    <n v="1"/>
  </r>
  <r>
    <s v="e5e33c0d8e7e002f398f5dc4cbbb338f"/>
    <s v="bauru"/>
    <x v="1"/>
    <n v="4.3448275862068897"/>
    <x v="83"/>
    <n v="23"/>
    <n v="3"/>
    <n v="3"/>
    <n v="1"/>
  </r>
  <r>
    <s v="e62b2d6ac10570a035a30bafcf01d263"/>
    <s v="sao paulo"/>
    <x v="1"/>
    <n v="3.8333333333333299"/>
    <x v="7"/>
    <n v="48"/>
    <n v="5"/>
    <n v="13"/>
    <n v="1"/>
  </r>
  <r>
    <s v="e63e8bfa530fb16910dd6956e592bb81"/>
    <s v="guarulhos"/>
    <x v="1"/>
    <n v="4.2727272727272698"/>
    <x v="78"/>
    <n v="37"/>
    <n v="2"/>
    <n v="5"/>
    <n v="1"/>
  </r>
  <r>
    <s v="e6a69c4a27dfdd98ffe5aa757ad744bc"/>
    <s v="sao paulo"/>
    <x v="1"/>
    <n v="3.6206896551724101"/>
    <x v="83"/>
    <n v="21"/>
    <n v="0"/>
    <n v="8"/>
    <n v="1"/>
  </r>
  <r>
    <s v="e7d5b006eb624f13074497221eb37807"/>
    <s v="santo andre"/>
    <x v="1"/>
    <n v="3.1111111111111098"/>
    <x v="21"/>
    <n v="27"/>
    <n v="13"/>
    <n v="23"/>
    <n v="1"/>
  </r>
  <r>
    <s v="e7df4cd29ab5abab70fb0783ddb53987"/>
    <s v="sao paulo"/>
    <x v="1"/>
    <n v="4.2916666666666599"/>
    <x v="10"/>
    <n v="20"/>
    <n v="2"/>
    <n v="2"/>
    <n v="1"/>
  </r>
  <r>
    <s v="e84ad2127668df3aafc6b73531a0beb8"/>
    <s v="sao paulo"/>
    <x v="1"/>
    <n v="4.3913043478260798"/>
    <x v="31"/>
    <n v="20"/>
    <n v="1"/>
    <n v="2"/>
    <n v="1"/>
  </r>
  <r>
    <s v="e882b2a25a10b9c057cc49695f222c19"/>
    <s v="teresopolis"/>
    <x v="5"/>
    <n v="4.5999999999999996"/>
    <x v="22"/>
    <n v="56"/>
    <n v="1"/>
    <n v="3"/>
    <n v="1"/>
  </r>
  <r>
    <s v="e883aa812c37a7413226856f4579fe91"/>
    <s v="itapevi"/>
    <x v="1"/>
    <n v="3.8965517241379302"/>
    <x v="83"/>
    <n v="22"/>
    <n v="2"/>
    <n v="5"/>
    <n v="1"/>
  </r>
  <r>
    <s v="e89c4adbe7b1d0819dbb636e16461cf1"/>
    <s v="indaiatuba"/>
    <x v="1"/>
    <n v="3.88"/>
    <x v="46"/>
    <n v="16"/>
    <n v="5"/>
    <n v="4"/>
    <n v="1"/>
  </r>
  <r>
    <s v="e8b3a3a38279a82f0e5d006d5e5b7d2c"/>
    <s v="jussara"/>
    <x v="2"/>
    <n v="3.74193548387096"/>
    <x v="27"/>
    <n v="64"/>
    <n v="7"/>
    <n v="22"/>
    <n v="1"/>
  </r>
  <r>
    <s v="e8b4225284fbb02d16f200513f1f395d"/>
    <s v="novo horizonte"/>
    <x v="1"/>
    <n v="4.1935483870967696"/>
    <x v="40"/>
    <n v="24"/>
    <n v="5"/>
    <n v="2"/>
    <n v="1"/>
  </r>
  <r>
    <s v="e8f6dc8e6a1dcde89d20e3995c8d90b3"/>
    <s v="sao paulo"/>
    <x v="1"/>
    <n v="3.3541666666666599"/>
    <x v="79"/>
    <n v="26"/>
    <n v="6"/>
    <n v="16"/>
    <n v="1"/>
  </r>
  <r>
    <s v="e9511df20ccd82658a30c37b7fb343af"/>
    <s v="bauru"/>
    <x v="1"/>
    <n v="4.4666666666666597"/>
    <x v="11"/>
    <n v="27"/>
    <n v="1"/>
    <n v="2"/>
    <n v="1"/>
  </r>
  <r>
    <s v="e96498ed8daaa3e9c23f7a62da76591c"/>
    <s v="sao paulo"/>
    <x v="1"/>
    <n v="3.9411764705882302"/>
    <x v="71"/>
    <n v="26"/>
    <n v="1"/>
    <n v="7"/>
    <n v="1"/>
  </r>
  <r>
    <s v="e9779976487b77c6d4ac45f75ec7afe9"/>
    <s v="praia grande"/>
    <x v="1"/>
    <n v="4.1673360107094997"/>
    <x v="227"/>
    <n v="599"/>
    <n v="51"/>
    <n v="97"/>
    <n v="1"/>
  </r>
  <r>
    <s v="e99e927c81e3f51739c94fcdfca9f10f"/>
    <s v="uberlandia"/>
    <x v="4"/>
    <n v="3.56"/>
    <x v="46"/>
    <n v="16"/>
    <n v="3"/>
    <n v="6"/>
    <n v="1"/>
  </r>
  <r>
    <s v="e9bc59e7b60fc3063eb2290deda4cced"/>
    <s v="maringa"/>
    <x v="2"/>
    <n v="3.94423791821561"/>
    <x v="228"/>
    <n v="197"/>
    <n v="22"/>
    <n v="50"/>
    <n v="1"/>
  </r>
  <r>
    <s v="e9d99831abad74458942f21e16f33f92"/>
    <s v="sao paulo"/>
    <x v="1"/>
    <n v="3.9054054054053999"/>
    <x v="66"/>
    <n v="108"/>
    <n v="16"/>
    <n v="24"/>
    <n v="1"/>
  </r>
  <r>
    <s v="ea566164622c6b439516ab18062c42cd"/>
    <s v="sao  paulo"/>
    <x v="1"/>
    <n v="3.75"/>
    <x v="47"/>
    <n v="34"/>
    <n v="5"/>
    <n v="13"/>
    <n v="1"/>
  </r>
  <r>
    <s v="ea67327e24487bdfac5fbfa37ea124df"/>
    <s v="ibitinga"/>
    <x v="1"/>
    <n v="3.5588235294117601"/>
    <x v="71"/>
    <n v="21"/>
    <n v="5"/>
    <n v="8"/>
    <n v="1"/>
  </r>
  <r>
    <s v="ea8482cd71df3c1969d7b9473ff13abc"/>
    <s v="sao paulo"/>
    <x v="1"/>
    <n v="3.9532163742690001"/>
    <x v="229"/>
    <n v="869"/>
    <n v="129"/>
    <n v="199"/>
    <n v="1"/>
  </r>
  <r>
    <s v="eb5b6204dde3a6e03b5f1bb8479f055b"/>
    <s v="embu guacu"/>
    <x v="1"/>
    <n v="3.8571428571428501"/>
    <x v="33"/>
    <n v="15"/>
    <n v="3"/>
    <n v="3"/>
    <n v="1"/>
  </r>
  <r>
    <s v="ebd2d60905fb58271facef5596b620d3"/>
    <s v="lencois paulista"/>
    <x v="1"/>
    <n v="4.125"/>
    <x v="104"/>
    <n v="66"/>
    <n v="11"/>
    <n v="11"/>
    <n v="1"/>
  </r>
  <r>
    <s v="ec4608a1f76453166bb312b2968aeaf4"/>
    <s v="porto ferreira"/>
    <x v="1"/>
    <n v="2.6857142857142802"/>
    <x v="55"/>
    <n v="12"/>
    <n v="5"/>
    <n v="18"/>
    <n v="1"/>
  </r>
  <r>
    <s v="ec8879960bd2221d5c32f8e12f7da711"/>
    <s v="itatiba"/>
    <x v="1"/>
    <n v="4.3142857142857096"/>
    <x v="55"/>
    <n v="28"/>
    <n v="3"/>
    <n v="4"/>
    <n v="1"/>
  </r>
  <r>
    <s v="ececbfcff9804a2d6b40f589df8eef2b"/>
    <s v="franca"/>
    <x v="1"/>
    <n v="4.1238095238095198"/>
    <x v="184"/>
    <n v="83"/>
    <n v="8"/>
    <n v="14"/>
    <n v="1"/>
  </r>
  <r>
    <s v="ed4311e67debd72b8610a5347a743087"/>
    <s v="guarulhos"/>
    <x v="1"/>
    <n v="4.4800000000000004"/>
    <x v="46"/>
    <n v="23"/>
    <n v="0"/>
    <n v="2"/>
    <n v="1"/>
  </r>
  <r>
    <s v="ed4acab38528488b65a9a9c603ff024a"/>
    <s v="sao paulo"/>
    <x v="1"/>
    <n v="3.7250000000000001"/>
    <x v="29"/>
    <n v="26"/>
    <n v="5"/>
    <n v="9"/>
    <n v="1"/>
  </r>
  <r>
    <s v="edb1ef5e36e0c8cd84eb3c9b003e486d"/>
    <s v="teresopolis"/>
    <x v="5"/>
    <n v="4.4342857142857097"/>
    <x v="230"/>
    <n v="153"/>
    <n v="8"/>
    <n v="14"/>
    <n v="1"/>
  </r>
  <r>
    <s v="ede0c03645598cdfc63ca8237acbe73d"/>
    <s v="ribeirao preto"/>
    <x v="1"/>
    <n v="3.6170212765957399"/>
    <x v="58"/>
    <n v="32"/>
    <n v="2"/>
    <n v="13"/>
    <n v="1"/>
  </r>
  <r>
    <s v="edf96ef93ed595084bbcbd9224bd2894"/>
    <s v="sao paulo"/>
    <x v="1"/>
    <n v="3.7857142857142798"/>
    <x v="16"/>
    <n v="19"/>
    <n v="5"/>
    <n v="4"/>
    <n v="1"/>
  </r>
  <r>
    <s v="eeb6de78f79159600292e314a77cbd18"/>
    <s v="lages"/>
    <x v="3"/>
    <n v="4.4285714285714199"/>
    <x v="130"/>
    <n v="73"/>
    <n v="6"/>
    <n v="5"/>
    <n v="1"/>
  </r>
  <r>
    <s v="eed78ac17f7f795a19a709745f00cd4e"/>
    <s v="botucatu"/>
    <x v="1"/>
    <n v="3.4107142857142798"/>
    <x v="1"/>
    <n v="31"/>
    <n v="5"/>
    <n v="20"/>
    <n v="1"/>
  </r>
  <r>
    <s v="ef0ace09169ac090589d85746e3e036f"/>
    <s v="sao goncalo"/>
    <x v="5"/>
    <n v="4.3404255319148897"/>
    <x v="5"/>
    <n v="117"/>
    <n v="10"/>
    <n v="14"/>
    <n v="1"/>
  </r>
  <r>
    <s v="ef2fbc2b607d8492bcffe657a4645434"/>
    <s v="rio de janeiro"/>
    <x v="5"/>
    <n v="3.9090909090908998"/>
    <x v="18"/>
    <n v="17"/>
    <n v="0"/>
    <n v="5"/>
    <n v="1"/>
  </r>
  <r>
    <s v="ef506c96320abeedfb894c34db06f478"/>
    <s v="sao paulo"/>
    <x v="1"/>
    <n v="3.9020771513353099"/>
    <x v="231"/>
    <n v="234"/>
    <n v="43"/>
    <n v="60"/>
    <n v="1"/>
  </r>
  <r>
    <s v="ef990a83bbea832f36ebe81376335aa8"/>
    <s v="joinville"/>
    <x v="3"/>
    <n v="3.6590909090908998"/>
    <x v="78"/>
    <n v="30"/>
    <n v="3"/>
    <n v="11"/>
    <n v="1"/>
  </r>
  <r>
    <s v="efcd8d2104f1a05d028af7bad20d974b"/>
    <s v="aracatuba"/>
    <x v="1"/>
    <n v="4.1851851851851798"/>
    <x v="25"/>
    <n v="45"/>
    <n v="5"/>
    <n v="4"/>
    <n v="1"/>
  </r>
  <r>
    <s v="f00e21b1e91a79653163b7fd8f293ff1"/>
    <s v="andradas"/>
    <x v="1"/>
    <n v="4.0999999999999996"/>
    <x v="11"/>
    <n v="22"/>
    <n v="4"/>
    <n v="4"/>
    <n v="1"/>
  </r>
  <r>
    <s v="f0837c8d71434931d9e38e7b79234797"/>
    <s v="arvorezinha"/>
    <x v="6"/>
    <n v="4.625"/>
    <x v="10"/>
    <n v="21"/>
    <n v="3"/>
    <n v="0"/>
    <n v="1"/>
  </r>
  <r>
    <s v="f08c008c8a8d31417763738a1788a2a8"/>
    <s v="santa terezinha de itaipu"/>
    <x v="2"/>
    <n v="3.0909090909090899"/>
    <x v="18"/>
    <n v="9"/>
    <n v="5"/>
    <n v="8"/>
    <n v="1"/>
  </r>
  <r>
    <s v="f0b47fbbc6dee9aafe415a6e33051b3f"/>
    <s v="maua"/>
    <x v="1"/>
    <n v="4.2325581395348797"/>
    <x v="224"/>
    <n v="68"/>
    <n v="6"/>
    <n v="12"/>
    <n v="1"/>
  </r>
  <r>
    <s v="f125f3a310c2e5f822d116147de1e474"/>
    <s v="sao paulo"/>
    <x v="1"/>
    <n v="4.3636363636363598"/>
    <x v="18"/>
    <n v="18"/>
    <n v="3"/>
    <n v="1"/>
    <n v="1"/>
  </r>
  <r>
    <s v="f12ff17ad8bbf01ec5c33b17e506649b"/>
    <s v="sao paulo"/>
    <x v="1"/>
    <n v="3.8275862068965498"/>
    <x v="83"/>
    <n v="19"/>
    <n v="6"/>
    <n v="4"/>
    <n v="1"/>
  </r>
  <r>
    <s v="f181738b150df1f37cb0bd72e705b193"/>
    <s v="carapicuiba"/>
    <x v="1"/>
    <n v="4.4864864864864797"/>
    <x v="77"/>
    <n v="32"/>
    <n v="3"/>
    <n v="2"/>
    <n v="1"/>
  </r>
  <r>
    <s v="f214d28e8d8e3ef068748498ccc2f813"/>
    <s v="sao paulo"/>
    <x v="1"/>
    <n v="4.0172413793103399"/>
    <x v="63"/>
    <n v="45"/>
    <n v="3"/>
    <n v="10"/>
    <n v="1"/>
  </r>
  <r>
    <s v="f262cbc1c910c83959f849465454ddd3"/>
    <s v="sao paulo"/>
    <x v="1"/>
    <n v="4.0869565217391299"/>
    <x v="214"/>
    <n v="159"/>
    <n v="14"/>
    <n v="34"/>
    <n v="1"/>
  </r>
  <r>
    <s v="f27e33c6d29b5138fa9967bcd445b6d5"/>
    <s v="sao paulo"/>
    <x v="1"/>
    <n v="4.09183673469387"/>
    <x v="160"/>
    <n v="77"/>
    <n v="5"/>
    <n v="16"/>
    <n v="1"/>
  </r>
  <r>
    <s v="f326006815956455b2859abd58fe7e39"/>
    <s v="fernandopolis"/>
    <x v="1"/>
    <n v="4.7"/>
    <x v="11"/>
    <n v="30"/>
    <n v="0"/>
    <n v="0"/>
    <n v="1"/>
  </r>
  <r>
    <s v="f3b80352b986ab4d1057a4b724be19d0"/>
    <s v="brasilia"/>
    <x v="10"/>
    <n v="4.13043478260869"/>
    <x v="199"/>
    <n v="73"/>
    <n v="8"/>
    <n v="11"/>
    <n v="1"/>
  </r>
  <r>
    <s v="f3da5b2ff499efb8d4a6d371d175d7dd"/>
    <s v="sao paulo"/>
    <x v="1"/>
    <n v="3.8333333333333299"/>
    <x v="130"/>
    <n v="58"/>
    <n v="10"/>
    <n v="16"/>
    <n v="1"/>
  </r>
  <r>
    <s v="f41ce2e25237f9092cd8e6e7516c7a2f"/>
    <s v="guarulhos"/>
    <x v="1"/>
    <n v="4.3214285714285703"/>
    <x v="16"/>
    <n v="22"/>
    <n v="4"/>
    <n v="2"/>
    <n v="1"/>
  </r>
  <r>
    <s v="f45122a9ab94eb4f3f8953578bc0c560"/>
    <s v="piracicaba"/>
    <x v="1"/>
    <n v="3.91"/>
    <x v="232"/>
    <n v="142"/>
    <n v="19"/>
    <n v="39"/>
    <n v="1"/>
  </r>
  <r>
    <s v="f457c46070d02cadd8a68551231220dd"/>
    <s v="maringa"/>
    <x v="2"/>
    <n v="3.7875000000000001"/>
    <x v="233"/>
    <n v="166"/>
    <n v="19"/>
    <n v="55"/>
    <n v="1"/>
  </r>
  <r>
    <s v="f46490624488d3ff7ce78613913a7711"/>
    <s v="guarulhos"/>
    <x v="1"/>
    <n v="3.4615384615384599"/>
    <x v="121"/>
    <n v="55"/>
    <n v="7"/>
    <n v="29"/>
    <n v="1"/>
  </r>
  <r>
    <s v="f4aba7c0bca51484c30ab7bdc34bcdd1"/>
    <s v="sao paulo"/>
    <x v="1"/>
    <n v="3.8956521739130401"/>
    <x v="234"/>
    <n v="81"/>
    <n v="14"/>
    <n v="20"/>
    <n v="1"/>
  </r>
  <r>
    <s v="f4c4daa86e30c7e5a553a8d518ac03a5"/>
    <s v="cascavel"/>
    <x v="2"/>
    <n v="3.7"/>
    <x v="35"/>
    <n v="14"/>
    <n v="1"/>
    <n v="5"/>
    <n v="1"/>
  </r>
  <r>
    <s v="f4db9b37944bcb8873e6b456ee190bbf"/>
    <s v="itaquaquecetuba"/>
    <x v="1"/>
    <n v="4.5454545454545396"/>
    <x v="18"/>
    <n v="19"/>
    <n v="3"/>
    <n v="0"/>
    <n v="1"/>
  </r>
  <r>
    <s v="f593898ec748b7a8cb81fc04edafd98a"/>
    <s v="pedreira"/>
    <x v="1"/>
    <n v="3.4782608695652102"/>
    <x v="31"/>
    <n v="14"/>
    <n v="2"/>
    <n v="7"/>
    <n v="1"/>
  </r>
  <r>
    <s v="f5a590cf36251cf1162ea35bef76fe84"/>
    <s v="sao bernardo do campo"/>
    <x v="1"/>
    <n v="4.2377049180327804"/>
    <x v="147"/>
    <n v="100"/>
    <n v="7"/>
    <n v="15"/>
    <n v="1"/>
  </r>
  <r>
    <s v="f615fe7efbef0f4f08fd3086bc7a3e60"/>
    <s v="atibaia"/>
    <x v="1"/>
    <n v="4.375"/>
    <x v="10"/>
    <n v="20"/>
    <n v="0"/>
    <n v="4"/>
    <n v="1"/>
  </r>
  <r>
    <s v="f61c63d13f7cd800549d5acdd390ae72"/>
    <s v="pilar do sul"/>
    <x v="1"/>
    <n v="4"/>
    <x v="3"/>
    <n v="21"/>
    <n v="2"/>
    <n v="3"/>
    <n v="1"/>
  </r>
  <r>
    <s v="f62d7bb4a613ec758a03342d46b580b2"/>
    <s v="vicosa"/>
    <x v="4"/>
    <n v="4.375"/>
    <x v="52"/>
    <n v="27"/>
    <n v="3"/>
    <n v="2"/>
    <n v="1"/>
  </r>
  <r>
    <s v="f63d8f293af3a6454377546bd9dd19ff"/>
    <s v="votorantim"/>
    <x v="1"/>
    <n v="3.8214285714285698"/>
    <x v="16"/>
    <n v="20"/>
    <n v="0"/>
    <n v="8"/>
    <n v="1"/>
  </r>
  <r>
    <s v="f67efa3f0b6761102a7f8c6b7b571f5d"/>
    <s v="curitiba"/>
    <x v="2"/>
    <n v="4.4375"/>
    <x v="52"/>
    <n v="28"/>
    <n v="2"/>
    <n v="2"/>
    <n v="1"/>
  </r>
  <r>
    <s v="f680f85bee2d253556ac91be391d2c82"/>
    <s v="carapicuiba"/>
    <x v="1"/>
    <n v="4.2962962962962896"/>
    <x v="25"/>
    <n v="45"/>
    <n v="4"/>
    <n v="5"/>
    <n v="1"/>
  </r>
  <r>
    <s v="f7496d659ca9fdaf323c0aae84176632"/>
    <s v="sao paulo"/>
    <x v="1"/>
    <n v="4.5925925925925899"/>
    <x v="34"/>
    <n v="24"/>
    <n v="1"/>
    <n v="2"/>
    <n v="1"/>
  </r>
  <r>
    <s v="f76a3b1349b6df1ee875d1f3fa4340f0"/>
    <s v="sao paulo"/>
    <x v="1"/>
    <n v="3.4583333333333299"/>
    <x v="10"/>
    <n v="12"/>
    <n v="5"/>
    <n v="7"/>
    <n v="1"/>
  </r>
  <r>
    <s v="f7720c4fa8e3aba4546301ab80ea1f1b"/>
    <s v="curitiba"/>
    <x v="2"/>
    <n v="4.1898734177215102"/>
    <x v="89"/>
    <n v="68"/>
    <n v="6"/>
    <n v="5"/>
    <n v="1"/>
  </r>
  <r>
    <s v="f789d2c4f2c2eb38fc4373e7a4b35264"/>
    <s v="juiz de fora"/>
    <x v="4"/>
    <n v="4.1836734693877498"/>
    <x v="95"/>
    <n v="38"/>
    <n v="4"/>
    <n v="7"/>
    <n v="1"/>
  </r>
  <r>
    <s v="f7ba60f8c3f99e7ee4042fdef03b70c4"/>
    <s v="sao bernardo do campo"/>
    <x v="1"/>
    <n v="4.2112068965517198"/>
    <x v="235"/>
    <n v="190"/>
    <n v="17"/>
    <n v="25"/>
    <n v="1"/>
  </r>
  <r>
    <s v="f7ccf836d21b2fb1de37564105216cc1"/>
    <s v="ibitinga"/>
    <x v="1"/>
    <n v="3.8194444444444402"/>
    <x v="23"/>
    <n v="51"/>
    <n v="6"/>
    <n v="15"/>
    <n v="1"/>
  </r>
  <r>
    <s v="f80edd2c5aaa505cc4b0a3b219abf4b8"/>
    <s v="sao paulo"/>
    <x v="1"/>
    <n v="4.0787401574803104"/>
    <x v="155"/>
    <n v="99"/>
    <n v="8"/>
    <n v="20"/>
    <n v="1"/>
  </r>
  <r>
    <s v="f84a00e60c73a49e7e851c9bdca3a5bb"/>
    <s v="rio de janeiro"/>
    <x v="5"/>
    <n v="3.6666666666666599"/>
    <x v="114"/>
    <n v="64"/>
    <n v="9"/>
    <n v="26"/>
    <n v="1"/>
  </r>
  <r>
    <s v="f84fa566034f5e8e880a07ec624c56af"/>
    <s v="indaiatuba"/>
    <x v="1"/>
    <n v="4.2745098039215597"/>
    <x v="200"/>
    <n v="85"/>
    <n v="5"/>
    <n v="12"/>
    <n v="1"/>
  </r>
  <r>
    <s v="f8db351d8c4c4c22c6835c19a46f01b0"/>
    <s v="salto"/>
    <x v="1"/>
    <n v="4.2188365650969502"/>
    <x v="236"/>
    <n v="586"/>
    <n v="59"/>
    <n v="77"/>
    <n v="1"/>
  </r>
  <r>
    <s v="f918546be4bec7104d117789ba758b2b"/>
    <s v="sao paulo"/>
    <x v="1"/>
    <n v="3.8260869565217299"/>
    <x v="31"/>
    <n v="17"/>
    <n v="1"/>
    <n v="5"/>
    <n v="1"/>
  </r>
  <r>
    <s v="f9244d45189d3a3605499abddeade7d5"/>
    <s v="sao paulo"/>
    <x v="1"/>
    <n v="4.2857142857142803"/>
    <x v="33"/>
    <n v="17"/>
    <n v="3"/>
    <n v="1"/>
    <n v="1"/>
  </r>
  <r>
    <s v="f97e2b0650c2068227e1d366140eb62f"/>
    <s v="santo antonio de posse"/>
    <x v="1"/>
    <n v="3.65"/>
    <x v="35"/>
    <n v="13"/>
    <n v="1"/>
    <n v="6"/>
    <n v="1"/>
  </r>
  <r>
    <s v="fa1a9dec3a9940c072684a46728bf1fc"/>
    <s v="icara"/>
    <x v="3"/>
    <n v="3.9830508474576201"/>
    <x v="42"/>
    <n v="42"/>
    <n v="7"/>
    <n v="10"/>
    <n v="1"/>
  </r>
  <r>
    <s v="fa1c13f2614d7b5c4749cbc52fecda94"/>
    <s v="sumare"/>
    <x v="1"/>
    <n v="4.34020618556701"/>
    <x v="237"/>
    <n v="497"/>
    <n v="24"/>
    <n v="61"/>
    <n v="1"/>
  </r>
  <r>
    <s v="fa40cc5b934574b62717c68f3d678b6d"/>
    <s v="sao paulo"/>
    <x v="1"/>
    <n v="4.4306784660766896"/>
    <x v="177"/>
    <n v="287"/>
    <n v="23"/>
    <n v="29"/>
    <n v="1"/>
  </r>
  <r>
    <s v="fad44952713764836814be105382aee5"/>
    <s v="rio de janeiro"/>
    <x v="5"/>
    <n v="4.28125"/>
    <x v="52"/>
    <n v="24"/>
    <n v="6"/>
    <n v="2"/>
    <n v="1"/>
  </r>
  <r>
    <s v="fb89df7f89fd1b8f03fa2acca1ba7364"/>
    <s v="foz do iguacu"/>
    <x v="2"/>
    <n v="3.84"/>
    <x v="46"/>
    <n v="16"/>
    <n v="4"/>
    <n v="5"/>
    <n v="1"/>
  </r>
  <r>
    <s v="fc906263ca5083d09dce42fe02247800"/>
    <s v="belo horizonte"/>
    <x v="4"/>
    <n v="4.3583333333333298"/>
    <x v="238"/>
    <n v="105"/>
    <n v="2"/>
    <n v="13"/>
    <n v="1"/>
  </r>
  <r>
    <s v="fcb5ace8bcc92f75707dc0f01a27d269"/>
    <s v="guarulhos"/>
    <x v="1"/>
    <n v="3.8082191780821901"/>
    <x v="24"/>
    <n v="51"/>
    <n v="9"/>
    <n v="13"/>
    <n v="1"/>
  </r>
  <r>
    <s v="fcdd820084f17e9982427971e4e9d47f"/>
    <s v="ribeirao preto"/>
    <x v="1"/>
    <n v="3.2592592592592502"/>
    <x v="34"/>
    <n v="13"/>
    <n v="5"/>
    <n v="9"/>
    <n v="1"/>
  </r>
  <r>
    <s v="fd386aa7bed2af3c7035c65506c9b4a3"/>
    <s v="sao paulo"/>
    <x v="1"/>
    <n v="4.3552631578947301"/>
    <x v="129"/>
    <n v="63"/>
    <n v="2"/>
    <n v="11"/>
    <n v="1"/>
  </r>
  <r>
    <s v="fdb9095204a334cd8872252ffec6f2db"/>
    <s v="sao paulo"/>
    <x v="1"/>
    <n v="4.1290322580645098"/>
    <x v="105"/>
    <n v="50"/>
    <n v="3"/>
    <n v="9"/>
    <n v="1"/>
  </r>
  <r>
    <s v="fde0cc9ea29c8ccfc0a2c22256a58c71"/>
    <s v="curitiba"/>
    <x v="2"/>
    <n v="4.4857142857142804"/>
    <x v="55"/>
    <n v="31"/>
    <n v="1"/>
    <n v="3"/>
    <n v="1"/>
  </r>
  <r>
    <s v="fe2032dab1a61af8794248c8196565c9"/>
    <s v="campinas"/>
    <x v="1"/>
    <n v="4.3841059602649004"/>
    <x v="239"/>
    <n v="259"/>
    <n v="14"/>
    <n v="29"/>
    <n v="1"/>
  </r>
  <r>
    <s v="febab0275244b9a49a623f0bd613ca2f"/>
    <s v="pedreira"/>
    <x v="1"/>
    <n v="4.2635658914728598"/>
    <x v="240"/>
    <n v="107"/>
    <n v="5"/>
    <n v="17"/>
    <n v="1"/>
  </r>
  <r>
    <s v="ff063b022a9a0aab91bad2c9088760b7"/>
    <s v="santo andre"/>
    <x v="1"/>
    <n v="4.2842105263157801"/>
    <x v="145"/>
    <n v="80"/>
    <n v="6"/>
    <n v="9"/>
    <n v="1"/>
  </r>
  <r>
    <s v="ff1fb4c404b2efe68b03350a8dc24122"/>
    <s v="mogi das cruzes"/>
    <x v="1"/>
    <n v="4.0612244897959098"/>
    <x v="95"/>
    <n v="37"/>
    <n v="4"/>
    <n v="8"/>
    <n v="1"/>
  </r>
  <r>
    <s v="ff69aa92bb6b1bf9b8b7a51c2ed9cf8b"/>
    <s v="sao paulo"/>
    <x v="1"/>
    <n v="3.65"/>
    <x v="35"/>
    <n v="13"/>
    <n v="1"/>
    <n v="6"/>
    <n v="1"/>
  </r>
  <r>
    <s v="ffc470761de7d0232558ba5e786e57b7"/>
    <s v="guarulhos"/>
    <x v="1"/>
    <n v="4.3"/>
    <x v="11"/>
    <n v="23"/>
    <n v="5"/>
    <n v="2"/>
    <n v="1"/>
  </r>
  <r>
    <s v="ffdd9f82b9a447f6f8d4b91554cc7dd3"/>
    <s v="curitiba"/>
    <x v="2"/>
    <n v="4.25"/>
    <x v="35"/>
    <n v="16"/>
    <n v="1"/>
    <n v="3"/>
    <n v="1"/>
  </r>
  <r>
    <s v="fffd5413c0700ac820c7069d66d98c89"/>
    <s v="amparo"/>
    <x v="1"/>
    <n v="3.86666666666666"/>
    <x v="22"/>
    <n v="43"/>
    <n v="4"/>
    <n v="13"/>
    <n v="1"/>
  </r>
  <r>
    <s v="ffff564a4f9085cd26170f4732393726"/>
    <s v="campinas"/>
    <x v="1"/>
    <n v="2.1"/>
    <x v="35"/>
    <n v="4"/>
    <n v="3"/>
    <n v="13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4">
  <r>
    <x v="0"/>
    <x v="0"/>
    <n v="5611.92"/>
    <n v="261821.53999999899"/>
    <n v="2.14"/>
    <n v="5"/>
    <n v="1796"/>
    <n v="0.28000000000000003"/>
  </r>
  <r>
    <x v="0"/>
    <x v="1"/>
    <n v="2298.39"/>
    <n v="293729.82999999903"/>
    <n v="0.78"/>
    <n v="7"/>
    <n v="2316"/>
    <n v="0.3"/>
  </r>
  <r>
    <x v="0"/>
    <x v="2"/>
    <n v="12126.49"/>
    <n v="1577629.1"/>
    <n v="0.77"/>
    <n v="21"/>
    <n v="13110"/>
    <n v="0.16"/>
  </r>
  <r>
    <x v="0"/>
    <x v="3"/>
    <n v="4903.53"/>
    <n v="683400.24999999895"/>
    <n v="0.72"/>
    <n v="12"/>
    <n v="5736"/>
    <n v="0.21"/>
  </r>
  <r>
    <x v="0"/>
    <x v="4"/>
    <n v="1109.98"/>
    <n v="175925.19"/>
    <n v="0.63"/>
    <n v="2"/>
    <n v="1067"/>
    <n v="0.19"/>
  </r>
  <r>
    <x v="0"/>
    <x v="5"/>
    <n v="25884.049999999901"/>
    <n v="5195744.47999998"/>
    <n v="0.5"/>
    <n v="95"/>
    <n v="47399"/>
    <n v="0.2"/>
  </r>
  <r>
    <x v="0"/>
    <x v="6"/>
    <n v="8598.86"/>
    <n v="1803168.25"/>
    <n v="0.48"/>
    <n v="28"/>
    <n v="14468"/>
    <n v="0.19"/>
  </r>
  <r>
    <x v="0"/>
    <x v="7"/>
    <n v="2257"/>
    <n v="508609.12999999902"/>
    <n v="0.44"/>
    <n v="5"/>
    <n v="3766"/>
    <n v="0.13"/>
  </r>
  <r>
    <x v="0"/>
    <x v="8"/>
    <n v="3155.93"/>
    <n v="751552.01999999897"/>
    <n v="0.42"/>
    <n v="9"/>
    <n v="6265"/>
    <n v="0.14000000000000001"/>
  </r>
  <r>
    <x v="0"/>
    <x v="9"/>
    <n v="530"/>
    <n v="155690.51"/>
    <n v="0.34"/>
    <n v="2"/>
    <n v="1047"/>
    <n v="0.19"/>
  </r>
  <r>
    <x v="0"/>
    <x v="10"/>
    <n v="1069.98"/>
    <n v="514179.52999999898"/>
    <n v="0.21"/>
    <n v="3"/>
    <n v="4156"/>
    <n v="7.0000000000000007E-2"/>
  </r>
  <r>
    <x v="0"/>
    <x v="11"/>
    <n v="452.9"/>
    <n v="226813.40999999901"/>
    <n v="0.2"/>
    <n v="6"/>
    <n v="1472"/>
    <n v="0.41"/>
  </r>
  <r>
    <x v="0"/>
    <x v="12"/>
    <n v="442.3"/>
    <n v="263711.51999999897"/>
    <n v="0.17"/>
    <n v="2"/>
    <n v="2237"/>
    <n v="0.09"/>
  </r>
  <r>
    <x v="1"/>
    <x v="9"/>
    <n v="734.4"/>
    <n v="155690.51"/>
    <n v="0.47"/>
    <n v="7"/>
    <n v="1047"/>
    <n v="0.67"/>
  </r>
  <r>
    <x v="1"/>
    <x v="12"/>
    <n v="963.69"/>
    <n v="263711.51999999897"/>
    <n v="0.37"/>
    <n v="14"/>
    <n v="2237"/>
    <n v="0.63"/>
  </r>
  <r>
    <x v="1"/>
    <x v="5"/>
    <n v="15299.8299999999"/>
    <n v="5195744.47999998"/>
    <n v="0.28999999999999998"/>
    <n v="277"/>
    <n v="47399"/>
    <n v="0.57999999999999996"/>
  </r>
  <r>
    <x v="1"/>
    <x v="3"/>
    <n v="1694.19999999999"/>
    <n v="683400.24999999895"/>
    <n v="0.25"/>
    <n v="29"/>
    <n v="5736"/>
    <n v="0.51"/>
  </r>
  <r>
    <x v="1"/>
    <x v="0"/>
    <n v="603.54999999999995"/>
    <n v="261821.53999999899"/>
    <n v="0.23"/>
    <n v="8"/>
    <n v="1796"/>
    <n v="0.45"/>
  </r>
  <r>
    <x v="1"/>
    <x v="7"/>
    <n v="883.06"/>
    <n v="508609.12999999902"/>
    <n v="0.17"/>
    <n v="14"/>
    <n v="3766"/>
    <n v="0.37"/>
  </r>
  <r>
    <x v="1"/>
    <x v="6"/>
    <n v="2808.31"/>
    <n v="1803168.25"/>
    <n v="0.16"/>
    <n v="47"/>
    <n v="14468"/>
    <n v="0.32"/>
  </r>
  <r>
    <x v="1"/>
    <x v="10"/>
    <n v="747.44"/>
    <n v="514179.52999999898"/>
    <n v="0.15"/>
    <n v="16"/>
    <n v="4156"/>
    <n v="0.38"/>
  </r>
  <r>
    <x v="1"/>
    <x v="11"/>
    <n v="348.69"/>
    <n v="226813.40999999901"/>
    <n v="0.15"/>
    <n v="5"/>
    <n v="1472"/>
    <n v="0.34"/>
  </r>
  <r>
    <x v="1"/>
    <x v="1"/>
    <n v="398.46"/>
    <n v="293729.82999999903"/>
    <n v="0.14000000000000001"/>
    <n v="7"/>
    <n v="2316"/>
    <n v="0.3"/>
  </r>
  <r>
    <x v="1"/>
    <x v="2"/>
    <n v="2115.5899999999901"/>
    <n v="1577629.1"/>
    <n v="0.13"/>
    <n v="38"/>
    <n v="13110"/>
    <n v="0.28999999999999998"/>
  </r>
  <r>
    <x v="1"/>
    <x v="13"/>
    <n v="340.17"/>
    <n v="303593.40000000002"/>
    <n v="0.11"/>
    <n v="6"/>
    <n v="2416"/>
    <n v="0.25"/>
  </r>
  <r>
    <x v="1"/>
    <x v="8"/>
    <n v="727.82"/>
    <n v="751552.01999999897"/>
    <n v="0.1"/>
    <n v="13"/>
    <n v="6265"/>
    <n v="0.21"/>
  </r>
  <r>
    <x v="2"/>
    <x v="0"/>
    <n v="672.01"/>
    <n v="261821.53999999899"/>
    <n v="0.26"/>
    <n v="5"/>
    <n v="1796"/>
    <n v="0.28000000000000003"/>
  </r>
  <r>
    <x v="2"/>
    <x v="6"/>
    <n v="2811.4"/>
    <n v="1803168.25"/>
    <n v="0.16"/>
    <n v="52"/>
    <n v="14468"/>
    <n v="0.36"/>
  </r>
  <r>
    <x v="2"/>
    <x v="11"/>
    <n v="291.86"/>
    <n v="226813.40999999901"/>
    <n v="0.13"/>
    <n v="4"/>
    <n v="1472"/>
    <n v="0.27"/>
  </r>
  <r>
    <x v="2"/>
    <x v="12"/>
    <n v="311"/>
    <n v="263711.51999999897"/>
    <n v="0.12"/>
    <n v="7"/>
    <n v="2237"/>
    <n v="0.31"/>
  </r>
  <r>
    <x v="2"/>
    <x v="2"/>
    <n v="1913.9"/>
    <n v="1577629.1"/>
    <n v="0.12"/>
    <n v="26"/>
    <n v="13110"/>
    <n v="0.2"/>
  </r>
  <r>
    <x v="2"/>
    <x v="5"/>
    <n v="6429.16"/>
    <n v="5195744.47999998"/>
    <n v="0.12"/>
    <n v="136"/>
    <n v="47399"/>
    <n v="0.28999999999999998"/>
  </r>
  <r>
    <x v="2"/>
    <x v="7"/>
    <n v="550.41999999999996"/>
    <n v="508609.12999999902"/>
    <n v="0.11"/>
    <n v="8"/>
    <n v="3766"/>
    <n v="0.21"/>
  </r>
  <r>
    <x v="2"/>
    <x v="13"/>
    <n v="310.79000000000002"/>
    <n v="303593.40000000002"/>
    <n v="0.1"/>
    <n v="4"/>
    <n v="2416"/>
    <n v="0.17"/>
  </r>
  <r>
    <x v="2"/>
    <x v="3"/>
    <n v="653.48"/>
    <n v="683400.24999999895"/>
    <n v="0.1"/>
    <n v="16"/>
    <n v="5736"/>
    <n v="0.28000000000000003"/>
  </r>
  <r>
    <x v="2"/>
    <x v="4"/>
    <n v="64.599999999999994"/>
    <n v="175925.19"/>
    <n v="0.04"/>
    <n v="1"/>
    <n v="1067"/>
    <n v="0.09"/>
  </r>
  <r>
    <x v="2"/>
    <x v="8"/>
    <n v="249"/>
    <n v="751552.01999999897"/>
    <n v="0.03"/>
    <n v="6"/>
    <n v="6265"/>
    <n v="0.1"/>
  </r>
  <r>
    <x v="2"/>
    <x v="10"/>
    <n v="90.699999999999903"/>
    <n v="514179.52999999898"/>
    <n v="0.02"/>
    <n v="3"/>
    <n v="4156"/>
    <n v="7.0000000000000007E-2"/>
  </r>
  <r>
    <x v="3"/>
    <x v="5"/>
    <n v="14818.8399999999"/>
    <n v="5195744.47999998"/>
    <n v="0.28999999999999998"/>
    <n v="98"/>
    <n v="47399"/>
    <n v="0.21"/>
  </r>
  <r>
    <x v="3"/>
    <x v="13"/>
    <n v="565.79"/>
    <n v="303593.40000000002"/>
    <n v="0.19"/>
    <n v="6"/>
    <n v="2416"/>
    <n v="0.25"/>
  </r>
  <r>
    <x v="3"/>
    <x v="7"/>
    <n v="898.95"/>
    <n v="508609.12999999902"/>
    <n v="0.18"/>
    <n v="10"/>
    <n v="3766"/>
    <n v="0.27"/>
  </r>
  <r>
    <x v="3"/>
    <x v="6"/>
    <n v="2982.9"/>
    <n v="1803168.25"/>
    <n v="0.17"/>
    <n v="33"/>
    <n v="14468"/>
    <n v="0.23"/>
  </r>
  <r>
    <x v="3"/>
    <x v="1"/>
    <n v="409.57"/>
    <n v="293729.82999999903"/>
    <n v="0.14000000000000001"/>
    <n v="4"/>
    <n v="2316"/>
    <n v="0.17"/>
  </r>
  <r>
    <x v="3"/>
    <x v="4"/>
    <n v="169.89"/>
    <n v="175925.19"/>
    <n v="0.1"/>
    <n v="2"/>
    <n v="1067"/>
    <n v="0.19"/>
  </r>
  <r>
    <x v="3"/>
    <x v="3"/>
    <n v="710.81999999999903"/>
    <n v="683400.24999999895"/>
    <n v="0.1"/>
    <n v="9"/>
    <n v="5736"/>
    <n v="0.16"/>
  </r>
  <r>
    <x v="3"/>
    <x v="2"/>
    <n v="1366.54"/>
    <n v="1577629.1"/>
    <n v="0.09"/>
    <n v="18"/>
    <n v="13110"/>
    <n v="0.14000000000000001"/>
  </r>
  <r>
    <x v="3"/>
    <x v="8"/>
    <n v="611.43999999999903"/>
    <n v="751552.01999999897"/>
    <n v="0.08"/>
    <n v="9"/>
    <n v="6265"/>
    <n v="0.14000000000000001"/>
  </r>
  <r>
    <x v="3"/>
    <x v="10"/>
    <n v="422.19"/>
    <n v="514179.52999999898"/>
    <n v="0.08"/>
    <n v="6"/>
    <n v="4156"/>
    <n v="0.14000000000000001"/>
  </r>
  <r>
    <x v="3"/>
    <x v="0"/>
    <n v="110.99"/>
    <n v="261821.53999999899"/>
    <n v="0.04"/>
    <n v="1"/>
    <n v="1796"/>
    <n v="0.06"/>
  </r>
  <r>
    <x v="3"/>
    <x v="9"/>
    <n v="69.989999999999995"/>
    <n v="155690.51"/>
    <n v="0.04"/>
    <n v="1"/>
    <n v="1047"/>
    <n v="0.1"/>
  </r>
  <r>
    <x v="3"/>
    <x v="12"/>
    <n v="49.9"/>
    <n v="263711.51999999897"/>
    <n v="0.02"/>
    <n v="1"/>
    <n v="2237"/>
    <n v="0.04"/>
  </r>
  <r>
    <x v="4"/>
    <x v="10"/>
    <n v="289.49"/>
    <n v="514179.52999999898"/>
    <n v="0.06"/>
    <n v="1"/>
    <n v="4156"/>
    <n v="0.02"/>
  </r>
  <r>
    <x v="4"/>
    <x v="13"/>
    <n v="129.49"/>
    <n v="303593.40000000002"/>
    <n v="0.04"/>
    <n v="1"/>
    <n v="2416"/>
    <n v="0.04"/>
  </r>
  <r>
    <x v="4"/>
    <x v="2"/>
    <n v="488.78"/>
    <n v="1577629.1"/>
    <n v="0.03"/>
    <n v="6"/>
    <n v="13110"/>
    <n v="0.05"/>
  </r>
  <r>
    <x v="4"/>
    <x v="5"/>
    <n v="906.25"/>
    <n v="5195744.47999998"/>
    <n v="0.02"/>
    <n v="16"/>
    <n v="47399"/>
    <n v="0.03"/>
  </r>
  <r>
    <x v="5"/>
    <x v="13"/>
    <n v="231.2"/>
    <n v="303593.40000000002"/>
    <n v="0.08"/>
    <n v="1"/>
    <n v="2416"/>
    <n v="0.04"/>
  </r>
  <r>
    <x v="5"/>
    <x v="2"/>
    <n v="1103"/>
    <n v="1577629.1"/>
    <n v="7.0000000000000007E-2"/>
    <n v="5"/>
    <n v="13110"/>
    <n v="0.04"/>
  </r>
  <r>
    <x v="5"/>
    <x v="3"/>
    <n v="317.60000000000002"/>
    <n v="683400.24999999895"/>
    <n v="0.05"/>
    <n v="2"/>
    <n v="5736"/>
    <n v="0.03"/>
  </r>
  <r>
    <x v="5"/>
    <x v="10"/>
    <n v="258.89999999999998"/>
    <n v="514179.52999999898"/>
    <n v="0.05"/>
    <n v="2"/>
    <n v="4156"/>
    <n v="0.05"/>
  </r>
  <r>
    <x v="5"/>
    <x v="8"/>
    <n v="359.6"/>
    <n v="751552.01999999897"/>
    <n v="0.05"/>
    <n v="4"/>
    <n v="6265"/>
    <n v="0.06"/>
  </r>
  <r>
    <x v="5"/>
    <x v="5"/>
    <n v="1585.8799999999901"/>
    <n v="5195744.47999998"/>
    <n v="0.03"/>
    <n v="18"/>
    <n v="47399"/>
    <n v="0.04"/>
  </r>
  <r>
    <x v="5"/>
    <x v="6"/>
    <n v="291.5"/>
    <n v="1803168.25"/>
    <n v="0.02"/>
    <n v="6"/>
    <n v="14468"/>
    <n v="0.04"/>
  </r>
  <r>
    <x v="5"/>
    <x v="12"/>
    <n v="62.5"/>
    <n v="263711.51999999897"/>
    <n v="0.02"/>
    <n v="2"/>
    <n v="2237"/>
    <n v="0.09"/>
  </r>
  <r>
    <x v="5"/>
    <x v="1"/>
    <n v="43.8"/>
    <n v="293729.82999999903"/>
    <n v="0.01"/>
    <n v="2"/>
    <n v="2316"/>
    <n v="0.09"/>
  </r>
  <r>
    <x v="6"/>
    <x v="10"/>
    <n v="898.12"/>
    <n v="514179.52999999898"/>
    <n v="0.17"/>
    <n v="14"/>
    <n v="4156"/>
    <n v="0.34"/>
  </r>
  <r>
    <x v="6"/>
    <x v="7"/>
    <n v="703.21"/>
    <n v="508609.12999999902"/>
    <n v="0.14000000000000001"/>
    <n v="10"/>
    <n v="3766"/>
    <n v="0.27"/>
  </r>
  <r>
    <x v="6"/>
    <x v="0"/>
    <n v="372.45"/>
    <n v="261821.53999999899"/>
    <n v="0.14000000000000001"/>
    <n v="4"/>
    <n v="1796"/>
    <n v="0.22"/>
  </r>
  <r>
    <x v="6"/>
    <x v="1"/>
    <n v="361.7"/>
    <n v="293729.82999999903"/>
    <n v="0.12"/>
    <n v="3"/>
    <n v="2316"/>
    <n v="0.13"/>
  </r>
  <r>
    <x v="6"/>
    <x v="13"/>
    <n v="311.2"/>
    <n v="303593.40000000002"/>
    <n v="0.1"/>
    <n v="8"/>
    <n v="2416"/>
    <n v="0.33"/>
  </r>
  <r>
    <x v="6"/>
    <x v="2"/>
    <n v="1271.33"/>
    <n v="1577629.1"/>
    <n v="0.08"/>
    <n v="19"/>
    <n v="13110"/>
    <n v="0.14000000000000001"/>
  </r>
  <r>
    <x v="6"/>
    <x v="11"/>
    <n v="159.80000000000001"/>
    <n v="226813.40999999901"/>
    <n v="7.0000000000000007E-2"/>
    <n v="2"/>
    <n v="1472"/>
    <n v="0.14000000000000001"/>
  </r>
  <r>
    <x v="6"/>
    <x v="8"/>
    <n v="484.9"/>
    <n v="751552.01999999897"/>
    <n v="0.06"/>
    <n v="6"/>
    <n v="6265"/>
    <n v="0.1"/>
  </r>
  <r>
    <x v="6"/>
    <x v="9"/>
    <n v="79.900000000000006"/>
    <n v="155690.51"/>
    <n v="0.05"/>
    <n v="1"/>
    <n v="1047"/>
    <n v="0.1"/>
  </r>
  <r>
    <x v="6"/>
    <x v="5"/>
    <n v="2143.97999999999"/>
    <n v="5195744.47999998"/>
    <n v="0.04"/>
    <n v="50"/>
    <n v="47399"/>
    <n v="0.11"/>
  </r>
  <r>
    <x v="6"/>
    <x v="12"/>
    <n v="116.9"/>
    <n v="263711.51999999897"/>
    <n v="0.04"/>
    <n v="1"/>
    <n v="2237"/>
    <n v="0.04"/>
  </r>
  <r>
    <x v="6"/>
    <x v="6"/>
    <n v="615.32000000000005"/>
    <n v="1803168.25"/>
    <n v="0.03"/>
    <n v="15"/>
    <n v="14468"/>
    <n v="0.1"/>
  </r>
  <r>
    <x v="6"/>
    <x v="3"/>
    <n v="190.16"/>
    <n v="683400.24999999895"/>
    <n v="0.03"/>
    <n v="6"/>
    <n v="5736"/>
    <n v="0.1"/>
  </r>
  <r>
    <x v="7"/>
    <x v="13"/>
    <n v="2048.22999999999"/>
    <n v="303593.40000000002"/>
    <n v="0.67"/>
    <n v="16"/>
    <n v="2416"/>
    <n v="0.66"/>
  </r>
  <r>
    <x v="7"/>
    <x v="1"/>
    <n v="1974.88"/>
    <n v="293729.82999999903"/>
    <n v="0.67"/>
    <n v="7"/>
    <n v="2316"/>
    <n v="0.3"/>
  </r>
  <r>
    <x v="7"/>
    <x v="6"/>
    <n v="9330.5499999999993"/>
    <n v="1803168.25"/>
    <n v="0.52"/>
    <n v="56"/>
    <n v="14468"/>
    <n v="0.39"/>
  </r>
  <r>
    <x v="7"/>
    <x v="12"/>
    <n v="1197.77999999999"/>
    <n v="263711.51999999897"/>
    <n v="0.45"/>
    <n v="14"/>
    <n v="2237"/>
    <n v="0.63"/>
  </r>
  <r>
    <x v="7"/>
    <x v="9"/>
    <n v="671.8"/>
    <n v="155690.51"/>
    <n v="0.43"/>
    <n v="4"/>
    <n v="1047"/>
    <n v="0.38"/>
  </r>
  <r>
    <x v="7"/>
    <x v="3"/>
    <n v="2841.27"/>
    <n v="683400.24999999895"/>
    <n v="0.42"/>
    <n v="18"/>
    <n v="5736"/>
    <n v="0.31"/>
  </r>
  <r>
    <x v="7"/>
    <x v="11"/>
    <n v="902.89"/>
    <n v="226813.40999999901"/>
    <n v="0.4"/>
    <n v="5"/>
    <n v="1472"/>
    <n v="0.34"/>
  </r>
  <r>
    <x v="7"/>
    <x v="2"/>
    <n v="5627.09"/>
    <n v="1577629.1"/>
    <n v="0.36"/>
    <n v="35"/>
    <n v="13110"/>
    <n v="0.27"/>
  </r>
  <r>
    <x v="7"/>
    <x v="5"/>
    <n v="17518.589999999898"/>
    <n v="5195744.47999998"/>
    <n v="0.34"/>
    <n v="144"/>
    <n v="47399"/>
    <n v="0.3"/>
  </r>
  <r>
    <x v="7"/>
    <x v="10"/>
    <n v="1642.46999999999"/>
    <n v="514179.52999999898"/>
    <n v="0.32"/>
    <n v="11"/>
    <n v="4156"/>
    <n v="0.26"/>
  </r>
  <r>
    <x v="7"/>
    <x v="4"/>
    <n v="568"/>
    <n v="175925.19"/>
    <n v="0.32"/>
    <n v="1"/>
    <n v="1067"/>
    <n v="0.09"/>
  </r>
  <r>
    <x v="7"/>
    <x v="8"/>
    <n v="2245.1999999999998"/>
    <n v="751552.01999999897"/>
    <n v="0.3"/>
    <n v="16"/>
    <n v="6265"/>
    <n v="0.26"/>
  </r>
  <r>
    <x v="7"/>
    <x v="7"/>
    <n v="1430.69"/>
    <n v="508609.12999999902"/>
    <n v="0.28000000000000003"/>
    <n v="14"/>
    <n v="3766"/>
    <n v="0.37"/>
  </r>
  <r>
    <x v="7"/>
    <x v="0"/>
    <n v="441.79"/>
    <n v="261821.53999999899"/>
    <n v="0.17"/>
    <n v="4"/>
    <n v="1796"/>
    <n v="0.22"/>
  </r>
  <r>
    <x v="8"/>
    <x v="9"/>
    <n v="10507.41"/>
    <n v="155690.51"/>
    <n v="6.75"/>
    <n v="56"/>
    <n v="1047"/>
    <n v="5.35"/>
  </r>
  <r>
    <x v="8"/>
    <x v="7"/>
    <n v="29567.5999999999"/>
    <n v="508609.12999999902"/>
    <n v="5.81"/>
    <n v="157"/>
    <n v="3766"/>
    <n v="4.17"/>
  </r>
  <r>
    <x v="8"/>
    <x v="13"/>
    <n v="17488.039999999899"/>
    <n v="303593.40000000002"/>
    <n v="5.76"/>
    <n v="113"/>
    <n v="2416"/>
    <n v="4.68"/>
  </r>
  <r>
    <x v="8"/>
    <x v="11"/>
    <n v="11985.5"/>
    <n v="226813.40999999901"/>
    <n v="5.28"/>
    <n v="59"/>
    <n v="1472"/>
    <n v="4.01"/>
  </r>
  <r>
    <x v="8"/>
    <x v="10"/>
    <n v="25743.279999999901"/>
    <n v="514179.52999999898"/>
    <n v="5.01"/>
    <n v="181"/>
    <n v="4156"/>
    <n v="4.3600000000000003"/>
  </r>
  <r>
    <x v="8"/>
    <x v="0"/>
    <n v="12339.949999999901"/>
    <n v="261821.53999999899"/>
    <n v="4.71"/>
    <n v="86"/>
    <n v="1796"/>
    <n v="4.79"/>
  </r>
  <r>
    <x v="8"/>
    <x v="12"/>
    <n v="12280.06"/>
    <n v="263711.51999999897"/>
    <n v="4.66"/>
    <n v="89"/>
    <n v="2237"/>
    <n v="3.98"/>
  </r>
  <r>
    <x v="8"/>
    <x v="2"/>
    <n v="72889.360000000102"/>
    <n v="1577629.1"/>
    <n v="4.62"/>
    <n v="514"/>
    <n v="13110"/>
    <n v="3.92"/>
  </r>
  <r>
    <x v="8"/>
    <x v="4"/>
    <n v="7901.57"/>
    <n v="175925.19"/>
    <n v="4.49"/>
    <n v="53"/>
    <n v="1067"/>
    <n v="4.97"/>
  </r>
  <r>
    <x v="8"/>
    <x v="5"/>
    <n v="214253.58"/>
    <n v="5195744.47999998"/>
    <n v="4.12"/>
    <n v="1747"/>
    <n v="47399"/>
    <n v="3.69"/>
  </r>
  <r>
    <x v="8"/>
    <x v="3"/>
    <n v="28134.019999999899"/>
    <n v="683400.24999999895"/>
    <n v="4.12"/>
    <n v="234"/>
    <n v="5736"/>
    <n v="4.08"/>
  </r>
  <r>
    <x v="8"/>
    <x v="6"/>
    <n v="64573.599999999999"/>
    <n v="1803168.25"/>
    <n v="3.58"/>
    <n v="434"/>
    <n v="14468"/>
    <n v="3"/>
  </r>
  <r>
    <x v="8"/>
    <x v="8"/>
    <n v="26425.119999999901"/>
    <n v="751552.01999999897"/>
    <n v="3.52"/>
    <n v="189"/>
    <n v="6265"/>
    <n v="3.02"/>
  </r>
  <r>
    <x v="8"/>
    <x v="1"/>
    <n v="9386.75"/>
    <n v="293729.82999999903"/>
    <n v="3.2"/>
    <n v="79"/>
    <n v="2316"/>
    <n v="3.41"/>
  </r>
  <r>
    <x v="9"/>
    <x v="4"/>
    <n v="9882.75"/>
    <n v="175925.19"/>
    <n v="5.62"/>
    <n v="44"/>
    <n v="1067"/>
    <n v="4.12"/>
  </r>
  <r>
    <x v="9"/>
    <x v="9"/>
    <n v="6936.53"/>
    <n v="155690.51"/>
    <n v="4.46"/>
    <n v="35"/>
    <n v="1047"/>
    <n v="3.34"/>
  </r>
  <r>
    <x v="9"/>
    <x v="8"/>
    <n v="30483.929999999898"/>
    <n v="751552.01999999897"/>
    <n v="4.0599999999999996"/>
    <n v="211"/>
    <n v="6265"/>
    <n v="3.37"/>
  </r>
  <r>
    <x v="9"/>
    <x v="1"/>
    <n v="9801.67"/>
    <n v="293729.82999999903"/>
    <n v="3.34"/>
    <n v="56"/>
    <n v="2316"/>
    <n v="2.42"/>
  </r>
  <r>
    <x v="9"/>
    <x v="12"/>
    <n v="8370.65"/>
    <n v="263711.51999999897"/>
    <n v="3.17"/>
    <n v="62"/>
    <n v="2237"/>
    <n v="2.77"/>
  </r>
  <r>
    <x v="9"/>
    <x v="3"/>
    <n v="21424.559999999899"/>
    <n v="683400.24999999895"/>
    <n v="3.13"/>
    <n v="158"/>
    <n v="5736"/>
    <n v="2.75"/>
  </r>
  <r>
    <x v="9"/>
    <x v="10"/>
    <n v="15855.5699999999"/>
    <n v="514179.52999999898"/>
    <n v="3.08"/>
    <n v="111"/>
    <n v="4156"/>
    <n v="2.67"/>
  </r>
  <r>
    <x v="9"/>
    <x v="2"/>
    <n v="47727.279999999897"/>
    <n v="1577629.1"/>
    <n v="3.03"/>
    <n v="372"/>
    <n v="13110"/>
    <n v="2.84"/>
  </r>
  <r>
    <x v="9"/>
    <x v="5"/>
    <n v="155666.29"/>
    <n v="5195744.47999998"/>
    <n v="3"/>
    <n v="1267"/>
    <n v="47399"/>
    <n v="2.67"/>
  </r>
  <r>
    <x v="9"/>
    <x v="7"/>
    <n v="15222.4299999999"/>
    <n v="508609.12999999902"/>
    <n v="2.99"/>
    <n v="96"/>
    <n v="3766"/>
    <n v="2.5499999999999998"/>
  </r>
  <r>
    <x v="9"/>
    <x v="13"/>
    <n v="8593.3700000000008"/>
    <n v="303593.40000000002"/>
    <n v="2.83"/>
    <n v="68"/>
    <n v="2416"/>
    <n v="2.81"/>
  </r>
  <r>
    <x v="9"/>
    <x v="6"/>
    <n v="41953.839999999902"/>
    <n v="1803168.25"/>
    <n v="2.33"/>
    <n v="355"/>
    <n v="14468"/>
    <n v="2.4500000000000002"/>
  </r>
  <r>
    <x v="9"/>
    <x v="11"/>
    <n v="4548.24"/>
    <n v="226813.40999999901"/>
    <n v="2.0099999999999998"/>
    <n v="31"/>
    <n v="1472"/>
    <n v="2.11"/>
  </r>
  <r>
    <x v="9"/>
    <x v="0"/>
    <n v="4779.42"/>
    <n v="261821.53999999899"/>
    <n v="1.83"/>
    <n v="40"/>
    <n v="1796"/>
    <n v="2.23"/>
  </r>
  <r>
    <x v="10"/>
    <x v="6"/>
    <n v="5604.8199999999897"/>
    <n v="1803168.25"/>
    <n v="0.31"/>
    <n v="55"/>
    <n v="14468"/>
    <n v="0.38"/>
  </r>
  <r>
    <x v="10"/>
    <x v="3"/>
    <n v="1449.32"/>
    <n v="683400.24999999895"/>
    <n v="0.21"/>
    <n v="15"/>
    <n v="5736"/>
    <n v="0.26"/>
  </r>
  <r>
    <x v="10"/>
    <x v="12"/>
    <n v="546.41999999999996"/>
    <n v="263711.51999999897"/>
    <n v="0.21"/>
    <n v="5"/>
    <n v="2237"/>
    <n v="0.22"/>
  </r>
  <r>
    <x v="10"/>
    <x v="5"/>
    <n v="9202.3199999999906"/>
    <n v="5195744.47999998"/>
    <n v="0.18"/>
    <n v="215"/>
    <n v="47399"/>
    <n v="0.45"/>
  </r>
  <r>
    <x v="10"/>
    <x v="10"/>
    <n v="891.91"/>
    <n v="514179.52999999898"/>
    <n v="0.17"/>
    <n v="14"/>
    <n v="4156"/>
    <n v="0.34"/>
  </r>
  <r>
    <x v="10"/>
    <x v="8"/>
    <n v="1073.44"/>
    <n v="751552.01999999897"/>
    <n v="0.14000000000000001"/>
    <n v="18"/>
    <n v="6265"/>
    <n v="0.28999999999999998"/>
  </r>
  <r>
    <x v="10"/>
    <x v="1"/>
    <n v="385.57"/>
    <n v="293729.82999999903"/>
    <n v="0.13"/>
    <n v="7"/>
    <n v="2316"/>
    <n v="0.3"/>
  </r>
  <r>
    <x v="10"/>
    <x v="2"/>
    <n v="1940.6"/>
    <n v="1577629.1"/>
    <n v="0.12"/>
    <n v="26"/>
    <n v="13110"/>
    <n v="0.2"/>
  </r>
  <r>
    <x v="10"/>
    <x v="13"/>
    <n v="292.37"/>
    <n v="303593.40000000002"/>
    <n v="0.1"/>
    <n v="5"/>
    <n v="2416"/>
    <n v="0.21"/>
  </r>
  <r>
    <x v="10"/>
    <x v="7"/>
    <n v="401.289999999999"/>
    <n v="508609.12999999902"/>
    <n v="0.08"/>
    <n v="5"/>
    <n v="3766"/>
    <n v="0.13"/>
  </r>
  <r>
    <x v="10"/>
    <x v="11"/>
    <n v="150.47"/>
    <n v="226813.40999999901"/>
    <n v="7.0000000000000007E-2"/>
    <n v="3"/>
    <n v="1472"/>
    <n v="0.2"/>
  </r>
  <r>
    <x v="10"/>
    <x v="4"/>
    <n v="105"/>
    <n v="175925.19"/>
    <n v="0.06"/>
    <n v="1"/>
    <n v="1067"/>
    <n v="0.09"/>
  </r>
  <r>
    <x v="10"/>
    <x v="9"/>
    <n v="19.489999999999998"/>
    <n v="155690.51"/>
    <n v="0.01"/>
    <n v="1"/>
    <n v="1047"/>
    <n v="0.1"/>
  </r>
  <r>
    <x v="11"/>
    <x v="0"/>
    <n v="41523.5099999999"/>
    <n v="261821.53999999899"/>
    <n v="15.86"/>
    <n v="237"/>
    <n v="1796"/>
    <n v="13.2"/>
  </r>
  <r>
    <x v="11"/>
    <x v="11"/>
    <n v="32055.5799999999"/>
    <n v="226813.40999999901"/>
    <n v="14.13"/>
    <n v="165"/>
    <n v="1472"/>
    <n v="11.21"/>
  </r>
  <r>
    <x v="11"/>
    <x v="4"/>
    <n v="23935.819999999901"/>
    <n v="175925.19"/>
    <n v="13.61"/>
    <n v="108"/>
    <n v="1067"/>
    <n v="10.119999999999999"/>
  </r>
  <r>
    <x v="11"/>
    <x v="7"/>
    <n v="50969.919999999896"/>
    <n v="508609.12999999902"/>
    <n v="10.02"/>
    <n v="346"/>
    <n v="3766"/>
    <n v="9.19"/>
  </r>
  <r>
    <x v="11"/>
    <x v="2"/>
    <n v="156174.39999999999"/>
    <n v="1577629.1"/>
    <n v="9.9"/>
    <n v="1081"/>
    <n v="13110"/>
    <n v="8.25"/>
  </r>
  <r>
    <x v="11"/>
    <x v="9"/>
    <n v="15301.789999999901"/>
    <n v="155690.51"/>
    <n v="9.83"/>
    <n v="90"/>
    <n v="1047"/>
    <n v="8.6"/>
  </r>
  <r>
    <x v="11"/>
    <x v="1"/>
    <n v="28771.299999999901"/>
    <n v="293729.82999999903"/>
    <n v="9.8000000000000007"/>
    <n v="230"/>
    <n v="2316"/>
    <n v="9.93"/>
  </r>
  <r>
    <x v="11"/>
    <x v="13"/>
    <n v="29713.819999999901"/>
    <n v="303593.40000000002"/>
    <n v="9.7899999999999991"/>
    <n v="245"/>
    <n v="2416"/>
    <n v="10.14"/>
  </r>
  <r>
    <x v="11"/>
    <x v="5"/>
    <n v="459480.32999999699"/>
    <n v="5195744.47999998"/>
    <n v="8.84"/>
    <n v="4189"/>
    <n v="47399"/>
    <n v="8.84"/>
  </r>
  <r>
    <x v="11"/>
    <x v="3"/>
    <n v="54825.46"/>
    <n v="683400.24999999895"/>
    <n v="8.02"/>
    <n v="423"/>
    <n v="5736"/>
    <n v="7.37"/>
  </r>
  <r>
    <x v="11"/>
    <x v="6"/>
    <n v="143432.07"/>
    <n v="1803168.25"/>
    <n v="7.95"/>
    <n v="1060"/>
    <n v="14468"/>
    <n v="7.33"/>
  </r>
  <r>
    <x v="11"/>
    <x v="10"/>
    <n v="39530.359999999899"/>
    <n v="514179.52999999898"/>
    <n v="7.69"/>
    <n v="307"/>
    <n v="4156"/>
    <n v="7.39"/>
  </r>
  <r>
    <x v="11"/>
    <x v="12"/>
    <n v="20094.589999999898"/>
    <n v="263711.51999999897"/>
    <n v="7.62"/>
    <n v="164"/>
    <n v="2237"/>
    <n v="7.33"/>
  </r>
  <r>
    <x v="11"/>
    <x v="8"/>
    <n v="51864.069999999898"/>
    <n v="751552.01999999897"/>
    <n v="6.9"/>
    <n v="446"/>
    <n v="6265"/>
    <n v="7.12"/>
  </r>
  <r>
    <x v="12"/>
    <x v="6"/>
    <n v="72566.010000000097"/>
    <n v="1803168.25"/>
    <n v="4.0199999999999996"/>
    <n v="580"/>
    <n v="14468"/>
    <n v="4.01"/>
  </r>
  <r>
    <x v="12"/>
    <x v="12"/>
    <n v="10507.6599999999"/>
    <n v="263711.51999999897"/>
    <n v="3.98"/>
    <n v="96"/>
    <n v="2237"/>
    <n v="4.29"/>
  </r>
  <r>
    <x v="12"/>
    <x v="13"/>
    <n v="11791.8499999999"/>
    <n v="303593.40000000002"/>
    <n v="3.88"/>
    <n v="97"/>
    <n v="2416"/>
    <n v="4.01"/>
  </r>
  <r>
    <x v="12"/>
    <x v="8"/>
    <n v="28667.619999999901"/>
    <n v="751552.01999999897"/>
    <n v="3.81"/>
    <n v="211"/>
    <n v="6265"/>
    <n v="3.37"/>
  </r>
  <r>
    <x v="12"/>
    <x v="9"/>
    <n v="5857.16"/>
    <n v="155690.51"/>
    <n v="3.76"/>
    <n v="44"/>
    <n v="1047"/>
    <n v="4.2"/>
  </r>
  <r>
    <x v="12"/>
    <x v="2"/>
    <n v="58782.400000000001"/>
    <n v="1577629.1"/>
    <n v="3.73"/>
    <n v="492"/>
    <n v="13110"/>
    <n v="3.75"/>
  </r>
  <r>
    <x v="12"/>
    <x v="5"/>
    <n v="184276.15"/>
    <n v="5195744.47999998"/>
    <n v="3.55"/>
    <n v="1702"/>
    <n v="47399"/>
    <n v="3.59"/>
  </r>
  <r>
    <x v="12"/>
    <x v="3"/>
    <n v="23624.129999999899"/>
    <n v="683400.24999999895"/>
    <n v="3.46"/>
    <n v="202"/>
    <n v="5736"/>
    <n v="3.52"/>
  </r>
  <r>
    <x v="12"/>
    <x v="11"/>
    <n v="7839.3"/>
    <n v="226813.40999999901"/>
    <n v="3.46"/>
    <n v="65"/>
    <n v="1472"/>
    <n v="4.42"/>
  </r>
  <r>
    <x v="12"/>
    <x v="0"/>
    <n v="8949.2000000000007"/>
    <n v="261821.53999999899"/>
    <n v="3.42"/>
    <n v="64"/>
    <n v="1796"/>
    <n v="3.56"/>
  </r>
  <r>
    <x v="12"/>
    <x v="10"/>
    <n v="15712.3499999999"/>
    <n v="514179.52999999898"/>
    <n v="3.06"/>
    <n v="119"/>
    <n v="4156"/>
    <n v="2.86"/>
  </r>
  <r>
    <x v="12"/>
    <x v="7"/>
    <n v="14641.9399999999"/>
    <n v="508609.12999999902"/>
    <n v="2.88"/>
    <n v="116"/>
    <n v="3766"/>
    <n v="3.08"/>
  </r>
  <r>
    <x v="12"/>
    <x v="1"/>
    <n v="7913.8699999999899"/>
    <n v="293729.82999999903"/>
    <n v="2.69"/>
    <n v="83"/>
    <n v="2316"/>
    <n v="3.58"/>
  </r>
  <r>
    <x v="12"/>
    <x v="4"/>
    <n v="3836.62"/>
    <n v="175925.19"/>
    <n v="2.1800000000000002"/>
    <n v="29"/>
    <n v="1067"/>
    <n v="2.72"/>
  </r>
  <r>
    <x v="13"/>
    <x v="5"/>
    <n v="479686.16999999201"/>
    <n v="5195744.47999998"/>
    <n v="9.23"/>
    <n v="5260"/>
    <n v="47399"/>
    <n v="11.1"/>
  </r>
  <r>
    <x v="13"/>
    <x v="12"/>
    <n v="22704.339999999898"/>
    <n v="263711.51999999897"/>
    <n v="8.61"/>
    <n v="226"/>
    <n v="2237"/>
    <n v="10.1"/>
  </r>
  <r>
    <x v="13"/>
    <x v="2"/>
    <n v="130221.9"/>
    <n v="1577629.1"/>
    <n v="8.25"/>
    <n v="1334"/>
    <n v="13110"/>
    <n v="10.18"/>
  </r>
  <r>
    <x v="13"/>
    <x v="6"/>
    <n v="147133.65"/>
    <n v="1803168.25"/>
    <n v="8.16"/>
    <n v="1620"/>
    <n v="14468"/>
    <n v="11.2"/>
  </r>
  <r>
    <x v="13"/>
    <x v="8"/>
    <n v="60785.3"/>
    <n v="751552.01999999897"/>
    <n v="8.09"/>
    <n v="620"/>
    <n v="6265"/>
    <n v="9.9"/>
  </r>
  <r>
    <x v="13"/>
    <x v="1"/>
    <n v="23335.789999999899"/>
    <n v="293729.82999999903"/>
    <n v="7.94"/>
    <n v="241"/>
    <n v="2316"/>
    <n v="10.41"/>
  </r>
  <r>
    <x v="13"/>
    <x v="3"/>
    <n v="46344.229999999901"/>
    <n v="683400.24999999895"/>
    <n v="6.78"/>
    <n v="470"/>
    <n v="5736"/>
    <n v="8.19"/>
  </r>
  <r>
    <x v="13"/>
    <x v="10"/>
    <n v="31708.909999999902"/>
    <n v="514179.52999999898"/>
    <n v="6.17"/>
    <n v="334"/>
    <n v="4156"/>
    <n v="8.0399999999999991"/>
  </r>
  <r>
    <x v="13"/>
    <x v="13"/>
    <n v="16823.289999999899"/>
    <n v="303593.40000000002"/>
    <n v="5.54"/>
    <n v="213"/>
    <n v="2416"/>
    <n v="8.82"/>
  </r>
  <r>
    <x v="13"/>
    <x v="7"/>
    <n v="25261.369999999901"/>
    <n v="508609.12999999902"/>
    <n v="4.97"/>
    <n v="258"/>
    <n v="3766"/>
    <n v="6.85"/>
  </r>
  <r>
    <x v="13"/>
    <x v="9"/>
    <n v="7108.49"/>
    <n v="155690.51"/>
    <n v="4.57"/>
    <n v="70"/>
    <n v="1047"/>
    <n v="6.69"/>
  </r>
  <r>
    <x v="13"/>
    <x v="0"/>
    <n v="9169.6200000000008"/>
    <n v="261821.53999999899"/>
    <n v="3.5"/>
    <n v="90"/>
    <n v="1796"/>
    <n v="5.01"/>
  </r>
  <r>
    <x v="13"/>
    <x v="11"/>
    <n v="7020.79"/>
    <n v="226813.40999999901"/>
    <n v="3.1"/>
    <n v="83"/>
    <n v="1472"/>
    <n v="5.64"/>
  </r>
  <r>
    <x v="13"/>
    <x v="4"/>
    <n v="3506.53999999999"/>
    <n v="175925.19"/>
    <n v="1.99"/>
    <n v="38"/>
    <n v="1067"/>
    <n v="3.56"/>
  </r>
  <r>
    <x v="14"/>
    <x v="12"/>
    <n v="1538.1799999999901"/>
    <n v="263711.51999999897"/>
    <n v="0.57999999999999996"/>
    <n v="12"/>
    <n v="2237"/>
    <n v="0.54"/>
  </r>
  <r>
    <x v="14"/>
    <x v="2"/>
    <n v="8264.39"/>
    <n v="1577629.1"/>
    <n v="0.52"/>
    <n v="59"/>
    <n v="13110"/>
    <n v="0.45"/>
  </r>
  <r>
    <x v="14"/>
    <x v="5"/>
    <n v="26734.629999999899"/>
    <n v="5195744.47999998"/>
    <n v="0.51"/>
    <n v="203"/>
    <n v="47399"/>
    <n v="0.43"/>
  </r>
  <r>
    <x v="14"/>
    <x v="9"/>
    <n v="687.8"/>
    <n v="155690.51"/>
    <n v="0.44"/>
    <n v="4"/>
    <n v="1047"/>
    <n v="0.38"/>
  </r>
  <r>
    <x v="14"/>
    <x v="6"/>
    <n v="7776.97"/>
    <n v="1803168.25"/>
    <n v="0.43"/>
    <n v="60"/>
    <n v="14468"/>
    <n v="0.41"/>
  </r>
  <r>
    <x v="14"/>
    <x v="8"/>
    <n v="2991.89"/>
    <n v="751552.01999999897"/>
    <n v="0.4"/>
    <n v="21"/>
    <n v="6265"/>
    <n v="0.34"/>
  </r>
  <r>
    <x v="14"/>
    <x v="1"/>
    <n v="1110.5"/>
    <n v="293729.82999999903"/>
    <n v="0.38"/>
    <n v="8"/>
    <n v="2316"/>
    <n v="0.35"/>
  </r>
  <r>
    <x v="14"/>
    <x v="0"/>
    <n v="970.39999999999895"/>
    <n v="261821.53999999899"/>
    <n v="0.37"/>
    <n v="8"/>
    <n v="1796"/>
    <n v="0.45"/>
  </r>
  <r>
    <x v="14"/>
    <x v="10"/>
    <n v="1626.1899999999901"/>
    <n v="514179.52999999898"/>
    <n v="0.32"/>
    <n v="12"/>
    <n v="4156"/>
    <n v="0.28999999999999998"/>
  </r>
  <r>
    <x v="14"/>
    <x v="7"/>
    <n v="1260.3"/>
    <n v="508609.12999999902"/>
    <n v="0.25"/>
    <n v="12"/>
    <n v="3766"/>
    <n v="0.32"/>
  </r>
  <r>
    <x v="14"/>
    <x v="3"/>
    <n v="1637.1"/>
    <n v="683400.24999999895"/>
    <n v="0.24"/>
    <n v="13"/>
    <n v="5736"/>
    <n v="0.23"/>
  </r>
  <r>
    <x v="14"/>
    <x v="13"/>
    <n v="521.5"/>
    <n v="303593.40000000002"/>
    <n v="0.17"/>
    <n v="7"/>
    <n v="2416"/>
    <n v="0.28999999999999998"/>
  </r>
  <r>
    <x v="14"/>
    <x v="11"/>
    <n v="346.6"/>
    <n v="226813.40999999901"/>
    <n v="0.15"/>
    <n v="4"/>
    <n v="1472"/>
    <n v="0.27"/>
  </r>
  <r>
    <x v="15"/>
    <x v="1"/>
    <n v="64.5"/>
    <n v="293729.82999999903"/>
    <n v="0.02"/>
    <n v="5"/>
    <n v="2316"/>
    <n v="0.22"/>
  </r>
  <r>
    <x v="15"/>
    <x v="8"/>
    <n v="109.99"/>
    <n v="751552.01999999897"/>
    <n v="0.01"/>
    <n v="1"/>
    <n v="6265"/>
    <n v="0.02"/>
  </r>
  <r>
    <x v="15"/>
    <x v="5"/>
    <n v="456.78"/>
    <n v="5195744.47999998"/>
    <n v="0.01"/>
    <n v="14"/>
    <n v="47399"/>
    <n v="0.03"/>
  </r>
  <r>
    <x v="15"/>
    <x v="2"/>
    <n v="38.700000000000003"/>
    <n v="1577629.1"/>
    <n v="0"/>
    <n v="3"/>
    <n v="13110"/>
    <n v="0.02"/>
  </r>
  <r>
    <x v="15"/>
    <x v="3"/>
    <n v="12.9"/>
    <n v="683400.24999999895"/>
    <n v="0"/>
    <n v="1"/>
    <n v="5736"/>
    <n v="0.02"/>
  </r>
  <r>
    <x v="15"/>
    <x v="12"/>
    <n v="12.9"/>
    <n v="263711.51999999897"/>
    <n v="0"/>
    <n v="1"/>
    <n v="2237"/>
    <n v="0.04"/>
  </r>
  <r>
    <x v="15"/>
    <x v="7"/>
    <n v="12.9"/>
    <n v="508609.12999999902"/>
    <n v="0"/>
    <n v="1"/>
    <n v="3766"/>
    <n v="0.03"/>
  </r>
  <r>
    <x v="15"/>
    <x v="6"/>
    <n v="12.9"/>
    <n v="1803168.25"/>
    <n v="0"/>
    <n v="1"/>
    <n v="14468"/>
    <n v="0.01"/>
  </r>
  <r>
    <x v="16"/>
    <x v="8"/>
    <n v="7497.72"/>
    <n v="751552.01999999897"/>
    <n v="1"/>
    <n v="43"/>
    <n v="6265"/>
    <n v="0.69"/>
  </r>
  <r>
    <x v="16"/>
    <x v="1"/>
    <n v="2668.35"/>
    <n v="293729.82999999903"/>
    <n v="0.91"/>
    <n v="13"/>
    <n v="2316"/>
    <n v="0.56000000000000005"/>
  </r>
  <r>
    <x v="16"/>
    <x v="12"/>
    <n v="2148.6999999999998"/>
    <n v="263711.51999999897"/>
    <n v="0.81"/>
    <n v="15"/>
    <n v="2237"/>
    <n v="0.67"/>
  </r>
  <r>
    <x v="16"/>
    <x v="10"/>
    <n v="3878.12"/>
    <n v="514179.52999999898"/>
    <n v="0.75"/>
    <n v="25"/>
    <n v="4156"/>
    <n v="0.6"/>
  </r>
  <r>
    <x v="16"/>
    <x v="9"/>
    <n v="1085.28"/>
    <n v="155690.51"/>
    <n v="0.7"/>
    <n v="7"/>
    <n v="1047"/>
    <n v="0.67"/>
  </r>
  <r>
    <x v="16"/>
    <x v="11"/>
    <n v="1581.65"/>
    <n v="226813.40999999901"/>
    <n v="0.7"/>
    <n v="10"/>
    <n v="1472"/>
    <n v="0.68"/>
  </r>
  <r>
    <x v="16"/>
    <x v="5"/>
    <n v="34328.429999999898"/>
    <n v="5195744.47999998"/>
    <n v="0.66"/>
    <n v="268"/>
    <n v="47399"/>
    <n v="0.56999999999999995"/>
  </r>
  <r>
    <x v="16"/>
    <x v="7"/>
    <n v="2654.22999999999"/>
    <n v="508609.12999999902"/>
    <n v="0.52"/>
    <n v="14"/>
    <n v="3766"/>
    <n v="0.37"/>
  </r>
  <r>
    <x v="16"/>
    <x v="2"/>
    <n v="8270.9"/>
    <n v="1577629.1"/>
    <n v="0.52"/>
    <n v="60"/>
    <n v="13110"/>
    <n v="0.46"/>
  </r>
  <r>
    <x v="16"/>
    <x v="0"/>
    <n v="1341.65"/>
    <n v="261821.53999999899"/>
    <n v="0.51"/>
    <n v="7"/>
    <n v="1796"/>
    <n v="0.39"/>
  </r>
  <r>
    <x v="16"/>
    <x v="3"/>
    <n v="2748.11"/>
    <n v="683400.24999999895"/>
    <n v="0.4"/>
    <n v="24"/>
    <n v="5736"/>
    <n v="0.42"/>
  </r>
  <r>
    <x v="16"/>
    <x v="6"/>
    <n v="6927.6799999999903"/>
    <n v="1803168.25"/>
    <n v="0.38"/>
    <n v="71"/>
    <n v="14468"/>
    <n v="0.49"/>
  </r>
  <r>
    <x v="16"/>
    <x v="13"/>
    <n v="793.64"/>
    <n v="303593.40000000002"/>
    <n v="0.26"/>
    <n v="7"/>
    <n v="2416"/>
    <n v="0.28999999999999998"/>
  </r>
  <r>
    <x v="16"/>
    <x v="4"/>
    <n v="249.79999999999899"/>
    <n v="175925.19"/>
    <n v="0.14000000000000001"/>
    <n v="2"/>
    <n v="1067"/>
    <n v="0.19"/>
  </r>
  <r>
    <x v="17"/>
    <x v="8"/>
    <n v="225"/>
    <n v="751552.01999999897"/>
    <n v="0.03"/>
    <n v="5"/>
    <n v="6265"/>
    <n v="0.08"/>
  </r>
  <r>
    <x v="17"/>
    <x v="5"/>
    <n v="350"/>
    <n v="5195744.47999998"/>
    <n v="0.01"/>
    <n v="6"/>
    <n v="47399"/>
    <n v="0.01"/>
  </r>
  <r>
    <x v="17"/>
    <x v="6"/>
    <n v="90"/>
    <n v="1803168.25"/>
    <n v="0"/>
    <n v="2"/>
    <n v="14468"/>
    <n v="0.01"/>
  </r>
  <r>
    <x v="18"/>
    <x v="9"/>
    <n v="675.99"/>
    <n v="155690.51"/>
    <n v="0.43"/>
    <n v="1"/>
    <n v="1047"/>
    <n v="0.1"/>
  </r>
  <r>
    <x v="18"/>
    <x v="10"/>
    <n v="1106.8899999999901"/>
    <n v="514179.52999999898"/>
    <n v="0.22"/>
    <n v="4"/>
    <n v="4156"/>
    <n v="0.1"/>
  </r>
  <r>
    <x v="18"/>
    <x v="4"/>
    <n v="249.7"/>
    <n v="175925.19"/>
    <n v="0.14000000000000001"/>
    <n v="3"/>
    <n v="1067"/>
    <n v="0.28000000000000003"/>
  </r>
  <r>
    <x v="18"/>
    <x v="8"/>
    <n v="821.58"/>
    <n v="751552.01999999897"/>
    <n v="0.11"/>
    <n v="12"/>
    <n v="6265"/>
    <n v="0.19"/>
  </r>
  <r>
    <x v="18"/>
    <x v="7"/>
    <n v="314.85000000000002"/>
    <n v="508609.12999999902"/>
    <n v="0.06"/>
    <n v="3"/>
    <n v="3766"/>
    <n v="0.08"/>
  </r>
  <r>
    <x v="18"/>
    <x v="1"/>
    <n v="119"/>
    <n v="293729.82999999903"/>
    <n v="0.04"/>
    <n v="1"/>
    <n v="2316"/>
    <n v="0.04"/>
  </r>
  <r>
    <x v="18"/>
    <x v="5"/>
    <n v="2049.8099999999899"/>
    <n v="5195744.47999998"/>
    <n v="0.04"/>
    <n v="32"/>
    <n v="47399"/>
    <n v="7.0000000000000007E-2"/>
  </r>
  <r>
    <x v="18"/>
    <x v="12"/>
    <n v="94.9"/>
    <n v="263711.51999999897"/>
    <n v="0.04"/>
    <n v="1"/>
    <n v="2237"/>
    <n v="0.04"/>
  </r>
  <r>
    <x v="18"/>
    <x v="3"/>
    <n v="293.60000000000002"/>
    <n v="683400.24999999895"/>
    <n v="0.04"/>
    <n v="2"/>
    <n v="5736"/>
    <n v="0.03"/>
  </r>
  <r>
    <x v="18"/>
    <x v="2"/>
    <n v="494.89"/>
    <n v="1577629.1"/>
    <n v="0.03"/>
    <n v="6"/>
    <n v="13110"/>
    <n v="0.05"/>
  </r>
  <r>
    <x v="18"/>
    <x v="13"/>
    <n v="99.95"/>
    <n v="303593.40000000002"/>
    <n v="0.03"/>
    <n v="1"/>
    <n v="2416"/>
    <n v="0.04"/>
  </r>
  <r>
    <x v="18"/>
    <x v="6"/>
    <n v="528.6"/>
    <n v="1803168.25"/>
    <n v="0.03"/>
    <n v="5"/>
    <n v="14468"/>
    <n v="0.03"/>
  </r>
  <r>
    <x v="18"/>
    <x v="0"/>
    <n v="49.8"/>
    <n v="261821.53999999899"/>
    <n v="0.02"/>
    <n v="1"/>
    <n v="1796"/>
    <n v="0.06"/>
  </r>
  <r>
    <x v="19"/>
    <x v="6"/>
    <n v="16126.3999999999"/>
    <n v="1803168.25"/>
    <n v="0.89"/>
    <n v="67"/>
    <n v="14468"/>
    <n v="0.46"/>
  </r>
  <r>
    <x v="19"/>
    <x v="3"/>
    <n v="3353.81"/>
    <n v="683400.24999999895"/>
    <n v="0.49"/>
    <n v="12"/>
    <n v="5736"/>
    <n v="0.21"/>
  </r>
  <r>
    <x v="19"/>
    <x v="5"/>
    <n v="22574.639999999901"/>
    <n v="5195744.47999998"/>
    <n v="0.43"/>
    <n v="137"/>
    <n v="47399"/>
    <n v="0.28999999999999998"/>
  </r>
  <r>
    <x v="19"/>
    <x v="9"/>
    <n v="585.79999999999995"/>
    <n v="155690.51"/>
    <n v="0.38"/>
    <n v="5"/>
    <n v="1047"/>
    <n v="0.48"/>
  </r>
  <r>
    <x v="19"/>
    <x v="1"/>
    <n v="940.89"/>
    <n v="293729.82999999903"/>
    <n v="0.32"/>
    <n v="7"/>
    <n v="2316"/>
    <n v="0.3"/>
  </r>
  <r>
    <x v="19"/>
    <x v="2"/>
    <n v="4379.1099999999997"/>
    <n v="1577629.1"/>
    <n v="0.28000000000000003"/>
    <n v="20"/>
    <n v="13110"/>
    <n v="0.15"/>
  </r>
  <r>
    <x v="19"/>
    <x v="12"/>
    <n v="710.9"/>
    <n v="263711.51999999897"/>
    <n v="0.27"/>
    <n v="5"/>
    <n v="2237"/>
    <n v="0.22"/>
  </r>
  <r>
    <x v="19"/>
    <x v="8"/>
    <n v="1702.19"/>
    <n v="751552.01999999897"/>
    <n v="0.23"/>
    <n v="15"/>
    <n v="6265"/>
    <n v="0.24"/>
  </r>
  <r>
    <x v="19"/>
    <x v="11"/>
    <n v="446.159999999999"/>
    <n v="226813.40999999901"/>
    <n v="0.2"/>
    <n v="2"/>
    <n v="1472"/>
    <n v="0.14000000000000001"/>
  </r>
  <r>
    <x v="19"/>
    <x v="7"/>
    <n v="832.86"/>
    <n v="508609.12999999902"/>
    <n v="0.16"/>
    <n v="6"/>
    <n v="3766"/>
    <n v="0.16"/>
  </r>
  <r>
    <x v="19"/>
    <x v="13"/>
    <n v="468"/>
    <n v="303593.40000000002"/>
    <n v="0.15"/>
    <n v="3"/>
    <n v="2416"/>
    <n v="0.12"/>
  </r>
  <r>
    <x v="19"/>
    <x v="10"/>
    <n v="599.6"/>
    <n v="514179.52999999898"/>
    <n v="0.12"/>
    <n v="4"/>
    <n v="4156"/>
    <n v="0.1"/>
  </r>
  <r>
    <x v="19"/>
    <x v="0"/>
    <n v="276.89999999999998"/>
    <n v="261821.53999999899"/>
    <n v="0.11"/>
    <n v="2"/>
    <n v="1796"/>
    <n v="0.11"/>
  </r>
  <r>
    <x v="20"/>
    <x v="0"/>
    <n v="5572.24"/>
    <n v="261821.53999999899"/>
    <n v="2.13"/>
    <n v="19"/>
    <n v="1796"/>
    <n v="1.06"/>
  </r>
  <r>
    <x v="20"/>
    <x v="11"/>
    <n v="3664.05"/>
    <n v="226813.40999999901"/>
    <n v="1.62"/>
    <n v="16"/>
    <n v="1472"/>
    <n v="1.0900000000000001"/>
  </r>
  <r>
    <x v="20"/>
    <x v="12"/>
    <n v="3525.01999999999"/>
    <n v="263711.51999999897"/>
    <n v="1.34"/>
    <n v="23"/>
    <n v="2237"/>
    <n v="1.03"/>
  </r>
  <r>
    <x v="20"/>
    <x v="2"/>
    <n v="19952.6699999999"/>
    <n v="1577629.1"/>
    <n v="1.26"/>
    <n v="133"/>
    <n v="13110"/>
    <n v="1.01"/>
  </r>
  <r>
    <x v="20"/>
    <x v="5"/>
    <n v="63991.58"/>
    <n v="5195744.47999998"/>
    <n v="1.23"/>
    <n v="491"/>
    <n v="47399"/>
    <n v="1.04"/>
  </r>
  <r>
    <x v="20"/>
    <x v="8"/>
    <n v="8700.5400000000009"/>
    <n v="751552.01999999897"/>
    <n v="1.1599999999999999"/>
    <n v="61"/>
    <n v="6265"/>
    <n v="0.97"/>
  </r>
  <r>
    <x v="20"/>
    <x v="4"/>
    <n v="2013.73"/>
    <n v="175925.19"/>
    <n v="1.1399999999999999"/>
    <n v="14"/>
    <n v="1067"/>
    <n v="1.31"/>
  </r>
  <r>
    <x v="20"/>
    <x v="3"/>
    <n v="6483.52"/>
    <n v="683400.24999999895"/>
    <n v="0.95"/>
    <n v="47"/>
    <n v="5736"/>
    <n v="0.82"/>
  </r>
  <r>
    <x v="20"/>
    <x v="6"/>
    <n v="16679.949999999899"/>
    <n v="1803168.25"/>
    <n v="0.93"/>
    <n v="139"/>
    <n v="14468"/>
    <n v="0.96"/>
  </r>
  <r>
    <x v="20"/>
    <x v="9"/>
    <n v="1330.49"/>
    <n v="155690.51"/>
    <n v="0.85"/>
    <n v="9"/>
    <n v="1047"/>
    <n v="0.86"/>
  </r>
  <r>
    <x v="20"/>
    <x v="10"/>
    <n v="4387.53"/>
    <n v="514179.52999999898"/>
    <n v="0.85"/>
    <n v="34"/>
    <n v="4156"/>
    <n v="0.82"/>
  </r>
  <r>
    <x v="20"/>
    <x v="1"/>
    <n v="2386.84"/>
    <n v="293729.82999999903"/>
    <n v="0.81"/>
    <n v="22"/>
    <n v="2316"/>
    <n v="0.95"/>
  </r>
  <r>
    <x v="20"/>
    <x v="13"/>
    <n v="2113.37"/>
    <n v="303593.40000000002"/>
    <n v="0.7"/>
    <n v="28"/>
    <n v="2416"/>
    <n v="1.1599999999999999"/>
  </r>
  <r>
    <x v="20"/>
    <x v="7"/>
    <n v="3557.25"/>
    <n v="508609.12999999902"/>
    <n v="0.7"/>
    <n v="35"/>
    <n v="3766"/>
    <n v="0.93"/>
  </r>
  <r>
    <x v="21"/>
    <x v="9"/>
    <n v="3215.88"/>
    <n v="155690.51"/>
    <n v="2.0699999999999998"/>
    <n v="7"/>
    <n v="1047"/>
    <n v="0.67"/>
  </r>
  <r>
    <x v="21"/>
    <x v="3"/>
    <n v="9200.82"/>
    <n v="683400.24999999895"/>
    <n v="1.35"/>
    <n v="51"/>
    <n v="5736"/>
    <n v="0.89"/>
  </r>
  <r>
    <x v="21"/>
    <x v="5"/>
    <n v="61653.13"/>
    <n v="5195744.47999998"/>
    <n v="1.19"/>
    <n v="428"/>
    <n v="47399"/>
    <n v="0.9"/>
  </r>
  <r>
    <x v="21"/>
    <x v="2"/>
    <n v="18040.689999999999"/>
    <n v="1577629.1"/>
    <n v="1.1399999999999999"/>
    <n v="121"/>
    <n v="13110"/>
    <n v="0.92"/>
  </r>
  <r>
    <x v="21"/>
    <x v="6"/>
    <n v="19439.2599999999"/>
    <n v="1803168.25"/>
    <n v="1.08"/>
    <n v="119"/>
    <n v="14468"/>
    <n v="0.82"/>
  </r>
  <r>
    <x v="21"/>
    <x v="12"/>
    <n v="2696.38"/>
    <n v="263711.51999999897"/>
    <n v="1.02"/>
    <n v="12"/>
    <n v="2237"/>
    <n v="0.54"/>
  </r>
  <r>
    <x v="21"/>
    <x v="0"/>
    <n v="2593.77"/>
    <n v="261821.53999999899"/>
    <n v="0.99"/>
    <n v="12"/>
    <n v="1796"/>
    <n v="0.67"/>
  </r>
  <r>
    <x v="21"/>
    <x v="10"/>
    <n v="4976.8"/>
    <n v="514179.52999999898"/>
    <n v="0.97"/>
    <n v="30"/>
    <n v="4156"/>
    <n v="0.72"/>
  </r>
  <r>
    <x v="21"/>
    <x v="7"/>
    <n v="4594.7"/>
    <n v="508609.12999999902"/>
    <n v="0.9"/>
    <n v="36"/>
    <n v="3766"/>
    <n v="0.96"/>
  </r>
  <r>
    <x v="21"/>
    <x v="11"/>
    <n v="1793.06"/>
    <n v="226813.40999999901"/>
    <n v="0.79"/>
    <n v="10"/>
    <n v="1472"/>
    <n v="0.68"/>
  </r>
  <r>
    <x v="21"/>
    <x v="8"/>
    <n v="5578.65"/>
    <n v="751552.01999999897"/>
    <n v="0.74"/>
    <n v="44"/>
    <n v="6265"/>
    <n v="0.7"/>
  </r>
  <r>
    <x v="21"/>
    <x v="1"/>
    <n v="1233.1600000000001"/>
    <n v="293729.82999999903"/>
    <n v="0.42"/>
    <n v="11"/>
    <n v="2316"/>
    <n v="0.47"/>
  </r>
  <r>
    <x v="21"/>
    <x v="13"/>
    <n v="1085.94"/>
    <n v="303593.40000000002"/>
    <n v="0.36"/>
    <n v="11"/>
    <n v="2416"/>
    <n v="0.46"/>
  </r>
  <r>
    <x v="21"/>
    <x v="4"/>
    <n v="487.89"/>
    <n v="175925.19"/>
    <n v="0.28000000000000003"/>
    <n v="2"/>
    <n v="1067"/>
    <n v="0.19"/>
  </r>
  <r>
    <x v="22"/>
    <x v="1"/>
    <n v="2529.5"/>
    <n v="293729.82999999903"/>
    <n v="0.86"/>
    <n v="7"/>
    <n v="2316"/>
    <n v="0.3"/>
  </r>
  <r>
    <x v="22"/>
    <x v="12"/>
    <n v="513.99"/>
    <n v="263711.51999999897"/>
    <n v="0.19"/>
    <n v="4"/>
    <n v="2237"/>
    <n v="0.18"/>
  </r>
  <r>
    <x v="22"/>
    <x v="8"/>
    <n v="1113.4000000000001"/>
    <n v="751552.01999999897"/>
    <n v="0.15"/>
    <n v="8"/>
    <n v="6265"/>
    <n v="0.13"/>
  </r>
  <r>
    <x v="22"/>
    <x v="5"/>
    <n v="6743.3499999999904"/>
    <n v="5195744.47999998"/>
    <n v="0.13"/>
    <n v="32"/>
    <n v="47399"/>
    <n v="7.0000000000000007E-2"/>
  </r>
  <r>
    <x v="22"/>
    <x v="9"/>
    <n v="190"/>
    <n v="155690.51"/>
    <n v="0.12"/>
    <n v="1"/>
    <n v="1047"/>
    <n v="0.1"/>
  </r>
  <r>
    <x v="22"/>
    <x v="7"/>
    <n v="589.69999999999902"/>
    <n v="508609.12999999902"/>
    <n v="0.12"/>
    <n v="5"/>
    <n v="3766"/>
    <n v="0.13"/>
  </r>
  <r>
    <x v="22"/>
    <x v="2"/>
    <n v="1720.04999999999"/>
    <n v="1577629.1"/>
    <n v="0.11"/>
    <n v="18"/>
    <n v="13110"/>
    <n v="0.14000000000000001"/>
  </r>
  <r>
    <x v="22"/>
    <x v="10"/>
    <n v="495.6"/>
    <n v="514179.52999999898"/>
    <n v="0.1"/>
    <n v="5"/>
    <n v="4156"/>
    <n v="0.12"/>
  </r>
  <r>
    <x v="22"/>
    <x v="0"/>
    <n v="190"/>
    <n v="261821.53999999899"/>
    <n v="7.0000000000000007E-2"/>
    <n v="1"/>
    <n v="1796"/>
    <n v="0.06"/>
  </r>
  <r>
    <x v="22"/>
    <x v="6"/>
    <n v="1072.6799999999901"/>
    <n v="1803168.25"/>
    <n v="0.06"/>
    <n v="9"/>
    <n v="14468"/>
    <n v="0.06"/>
  </r>
  <r>
    <x v="22"/>
    <x v="11"/>
    <n v="93"/>
    <n v="226813.40999999901"/>
    <n v="0.04"/>
    <n v="1"/>
    <n v="1472"/>
    <n v="7.0000000000000007E-2"/>
  </r>
  <r>
    <x v="22"/>
    <x v="3"/>
    <n v="207.18"/>
    <n v="683400.24999999895"/>
    <n v="0.03"/>
    <n v="6"/>
    <n v="5736"/>
    <n v="0.1"/>
  </r>
  <r>
    <x v="23"/>
    <x v="9"/>
    <n v="649.99"/>
    <n v="155690.51"/>
    <n v="0.42"/>
    <n v="3"/>
    <n v="1047"/>
    <n v="0.28999999999999998"/>
  </r>
  <r>
    <x v="23"/>
    <x v="5"/>
    <n v="19200.159999999902"/>
    <n v="5195744.47999998"/>
    <n v="0.37"/>
    <n v="144"/>
    <n v="47399"/>
    <n v="0.3"/>
  </r>
  <r>
    <x v="23"/>
    <x v="2"/>
    <n v="5877.18"/>
    <n v="1577629.1"/>
    <n v="0.37"/>
    <n v="38"/>
    <n v="13110"/>
    <n v="0.28999999999999998"/>
  </r>
  <r>
    <x v="23"/>
    <x v="1"/>
    <n v="985"/>
    <n v="293729.82999999903"/>
    <n v="0.34"/>
    <n v="5"/>
    <n v="2316"/>
    <n v="0.22"/>
  </r>
  <r>
    <x v="23"/>
    <x v="3"/>
    <n v="2061.88"/>
    <n v="683400.24999999895"/>
    <n v="0.3"/>
    <n v="13"/>
    <n v="5736"/>
    <n v="0.23"/>
  </r>
  <r>
    <x v="23"/>
    <x v="8"/>
    <n v="2252.5300000000002"/>
    <n v="751552.01999999897"/>
    <n v="0.3"/>
    <n v="24"/>
    <n v="6265"/>
    <n v="0.38"/>
  </r>
  <r>
    <x v="23"/>
    <x v="10"/>
    <n v="1409.36"/>
    <n v="514179.52999999898"/>
    <n v="0.27"/>
    <n v="14"/>
    <n v="4156"/>
    <n v="0.34"/>
  </r>
  <r>
    <x v="23"/>
    <x v="13"/>
    <n v="788"/>
    <n v="303593.40000000002"/>
    <n v="0.26"/>
    <n v="4"/>
    <n v="2416"/>
    <n v="0.17"/>
  </r>
  <r>
    <x v="23"/>
    <x v="12"/>
    <n v="662.3"/>
    <n v="263711.51999999897"/>
    <n v="0.25"/>
    <n v="5"/>
    <n v="2237"/>
    <n v="0.22"/>
  </r>
  <r>
    <x v="23"/>
    <x v="6"/>
    <n v="3257.91"/>
    <n v="1803168.25"/>
    <n v="0.18"/>
    <n v="21"/>
    <n v="14468"/>
    <n v="0.15"/>
  </r>
  <r>
    <x v="23"/>
    <x v="0"/>
    <n v="384.98"/>
    <n v="261821.53999999899"/>
    <n v="0.15"/>
    <n v="3"/>
    <n v="1796"/>
    <n v="0.17"/>
  </r>
  <r>
    <x v="23"/>
    <x v="7"/>
    <n v="744.06"/>
    <n v="508609.12999999902"/>
    <n v="0.15"/>
    <n v="6"/>
    <n v="3766"/>
    <n v="0.16"/>
  </r>
  <r>
    <x v="23"/>
    <x v="11"/>
    <n v="219.9"/>
    <n v="226813.40999999901"/>
    <n v="0.1"/>
    <n v="1"/>
    <n v="1472"/>
    <n v="7.0000000000000007E-2"/>
  </r>
  <r>
    <x v="23"/>
    <x v="4"/>
    <n v="29"/>
    <n v="175925.19"/>
    <n v="0.02"/>
    <n v="1"/>
    <n v="1067"/>
    <n v="0.09"/>
  </r>
  <r>
    <x v="24"/>
    <x v="11"/>
    <n v="1988"/>
    <n v="226813.40999999901"/>
    <n v="0.88"/>
    <n v="8"/>
    <n v="1472"/>
    <n v="0.54"/>
  </r>
  <r>
    <x v="24"/>
    <x v="0"/>
    <n v="995.54"/>
    <n v="261821.53999999899"/>
    <n v="0.38"/>
    <n v="6"/>
    <n v="1796"/>
    <n v="0.33"/>
  </r>
  <r>
    <x v="24"/>
    <x v="6"/>
    <n v="6503.25"/>
    <n v="1803168.25"/>
    <n v="0.36"/>
    <n v="39"/>
    <n v="14468"/>
    <n v="0.27"/>
  </r>
  <r>
    <x v="24"/>
    <x v="7"/>
    <n v="1569.3899999999901"/>
    <n v="508609.12999999902"/>
    <n v="0.31"/>
    <n v="8"/>
    <n v="3766"/>
    <n v="0.21"/>
  </r>
  <r>
    <x v="24"/>
    <x v="12"/>
    <n v="489.8"/>
    <n v="263711.51999999897"/>
    <n v="0.19"/>
    <n v="5"/>
    <n v="2237"/>
    <n v="0.22"/>
  </r>
  <r>
    <x v="24"/>
    <x v="2"/>
    <n v="2461.48"/>
    <n v="1577629.1"/>
    <n v="0.16"/>
    <n v="31"/>
    <n v="13110"/>
    <n v="0.24"/>
  </r>
  <r>
    <x v="24"/>
    <x v="13"/>
    <n v="410.7"/>
    <n v="303593.40000000002"/>
    <n v="0.14000000000000001"/>
    <n v="5"/>
    <n v="2416"/>
    <n v="0.21"/>
  </r>
  <r>
    <x v="24"/>
    <x v="5"/>
    <n v="7507.15"/>
    <n v="5195744.47999998"/>
    <n v="0.14000000000000001"/>
    <n v="100"/>
    <n v="47399"/>
    <n v="0.21"/>
  </r>
  <r>
    <x v="24"/>
    <x v="8"/>
    <n v="1012.98"/>
    <n v="751552.01999999897"/>
    <n v="0.13"/>
    <n v="7"/>
    <n v="6265"/>
    <n v="0.11"/>
  </r>
  <r>
    <x v="24"/>
    <x v="1"/>
    <n v="330.7"/>
    <n v="293729.82999999903"/>
    <n v="0.11"/>
    <n v="5"/>
    <n v="2316"/>
    <n v="0.22"/>
  </r>
  <r>
    <x v="24"/>
    <x v="3"/>
    <n v="648.58999999999901"/>
    <n v="683400.24999999895"/>
    <n v="0.09"/>
    <n v="6"/>
    <n v="5736"/>
    <n v="0.1"/>
  </r>
  <r>
    <x v="24"/>
    <x v="4"/>
    <n v="139.9"/>
    <n v="175925.19"/>
    <n v="0.08"/>
    <n v="1"/>
    <n v="1067"/>
    <n v="0.09"/>
  </r>
  <r>
    <x v="24"/>
    <x v="10"/>
    <n v="234.2"/>
    <n v="514179.52999999898"/>
    <n v="0.05"/>
    <n v="5"/>
    <n v="4156"/>
    <n v="0.12"/>
  </r>
  <r>
    <x v="25"/>
    <x v="9"/>
    <n v="1063.5899999999999"/>
    <n v="155690.51"/>
    <n v="0.68"/>
    <n v="4"/>
    <n v="1047"/>
    <n v="0.38"/>
  </r>
  <r>
    <x v="25"/>
    <x v="10"/>
    <n v="2850.64"/>
    <n v="514179.52999999898"/>
    <n v="0.55000000000000004"/>
    <n v="13"/>
    <n v="4156"/>
    <n v="0.31"/>
  </r>
  <r>
    <x v="25"/>
    <x v="2"/>
    <n v="7546.7599999999902"/>
    <n v="1577629.1"/>
    <n v="0.48"/>
    <n v="29"/>
    <n v="13110"/>
    <n v="0.22"/>
  </r>
  <r>
    <x v="25"/>
    <x v="7"/>
    <n v="2384.9299999999998"/>
    <n v="508609.12999999902"/>
    <n v="0.47"/>
    <n v="7"/>
    <n v="3766"/>
    <n v="0.19"/>
  </r>
  <r>
    <x v="25"/>
    <x v="11"/>
    <n v="882.63"/>
    <n v="226813.40999999901"/>
    <n v="0.39"/>
    <n v="5"/>
    <n v="1472"/>
    <n v="0.34"/>
  </r>
  <r>
    <x v="25"/>
    <x v="0"/>
    <n v="1016.18"/>
    <n v="261821.53999999899"/>
    <n v="0.39"/>
    <n v="4"/>
    <n v="1796"/>
    <n v="0.22"/>
  </r>
  <r>
    <x v="25"/>
    <x v="3"/>
    <n v="2184.5099999999902"/>
    <n v="683400.24999999895"/>
    <n v="0.32"/>
    <n v="18"/>
    <n v="5736"/>
    <n v="0.31"/>
  </r>
  <r>
    <x v="25"/>
    <x v="5"/>
    <n v="14227.469999999899"/>
    <n v="5195744.47999998"/>
    <n v="0.27"/>
    <n v="66"/>
    <n v="47399"/>
    <n v="0.14000000000000001"/>
  </r>
  <r>
    <x v="25"/>
    <x v="1"/>
    <n v="622.4"/>
    <n v="293729.82999999903"/>
    <n v="0.21"/>
    <n v="7"/>
    <n v="2316"/>
    <n v="0.3"/>
  </r>
  <r>
    <x v="25"/>
    <x v="13"/>
    <n v="520.17999999999995"/>
    <n v="303593.40000000002"/>
    <n v="0.17"/>
    <n v="3"/>
    <n v="2416"/>
    <n v="0.12"/>
  </r>
  <r>
    <x v="25"/>
    <x v="8"/>
    <n v="1176.31"/>
    <n v="751552.01999999897"/>
    <n v="0.16"/>
    <n v="8"/>
    <n v="6265"/>
    <n v="0.13"/>
  </r>
  <r>
    <x v="25"/>
    <x v="6"/>
    <n v="2707.43"/>
    <n v="1803168.25"/>
    <n v="0.15"/>
    <n v="16"/>
    <n v="14468"/>
    <n v="0.11"/>
  </r>
  <r>
    <x v="26"/>
    <x v="1"/>
    <n v="22108.179999999898"/>
    <n v="293729.82999999903"/>
    <n v="7.53"/>
    <n v="99"/>
    <n v="2316"/>
    <n v="4.2699999999999996"/>
  </r>
  <r>
    <x v="26"/>
    <x v="8"/>
    <n v="46400.359999999899"/>
    <n v="751552.01999999897"/>
    <n v="6.17"/>
    <n v="260"/>
    <n v="6265"/>
    <n v="4.1500000000000004"/>
  </r>
  <r>
    <x v="26"/>
    <x v="10"/>
    <n v="28353.809999999899"/>
    <n v="514179.52999999898"/>
    <n v="5.51"/>
    <n v="158"/>
    <n v="4156"/>
    <n v="3.8"/>
  </r>
  <r>
    <x v="26"/>
    <x v="3"/>
    <n v="37139.229999999901"/>
    <n v="683400.24999999895"/>
    <n v="5.43"/>
    <n v="213"/>
    <n v="5736"/>
    <n v="3.71"/>
  </r>
  <r>
    <x v="26"/>
    <x v="0"/>
    <n v="14030.5199999999"/>
    <n v="261821.53999999899"/>
    <n v="5.36"/>
    <n v="78"/>
    <n v="1796"/>
    <n v="4.34"/>
  </r>
  <r>
    <x v="26"/>
    <x v="11"/>
    <n v="12115.4099999999"/>
    <n v="226813.40999999901"/>
    <n v="5.34"/>
    <n v="50"/>
    <n v="1472"/>
    <n v="3.4"/>
  </r>
  <r>
    <x v="26"/>
    <x v="9"/>
    <n v="7408.5199999999904"/>
    <n v="155690.51"/>
    <n v="4.76"/>
    <n v="46"/>
    <n v="1047"/>
    <n v="4.3899999999999997"/>
  </r>
  <r>
    <x v="26"/>
    <x v="7"/>
    <n v="23780.039999999899"/>
    <n v="508609.12999999902"/>
    <n v="4.68"/>
    <n v="146"/>
    <n v="3766"/>
    <n v="3.88"/>
  </r>
  <r>
    <x v="26"/>
    <x v="2"/>
    <n v="71879.48"/>
    <n v="1577629.1"/>
    <n v="4.5599999999999996"/>
    <n v="458"/>
    <n v="13110"/>
    <n v="3.49"/>
  </r>
  <r>
    <x v="26"/>
    <x v="6"/>
    <n v="82115.110000000102"/>
    <n v="1803168.25"/>
    <n v="4.55"/>
    <n v="516"/>
    <n v="14468"/>
    <n v="3.57"/>
  </r>
  <r>
    <x v="26"/>
    <x v="12"/>
    <n v="10909.8299999999"/>
    <n v="263711.51999999897"/>
    <n v="4.1399999999999997"/>
    <n v="66"/>
    <n v="2237"/>
    <n v="2.95"/>
  </r>
  <r>
    <x v="26"/>
    <x v="13"/>
    <n v="12532.289999999901"/>
    <n v="303593.40000000002"/>
    <n v="4.13"/>
    <n v="81"/>
    <n v="2416"/>
    <n v="3.35"/>
  </r>
  <r>
    <x v="26"/>
    <x v="5"/>
    <n v="212150.11999999901"/>
    <n v="5195744.47999998"/>
    <n v="4.08"/>
    <n v="1358"/>
    <n v="47399"/>
    <n v="2.87"/>
  </r>
  <r>
    <x v="26"/>
    <x v="4"/>
    <n v="7173.1"/>
    <n v="175925.19"/>
    <n v="4.08"/>
    <n v="47"/>
    <n v="1067"/>
    <n v="4.4000000000000004"/>
  </r>
  <r>
    <x v="27"/>
    <x v="5"/>
    <n v="4292.66"/>
    <n v="5195744.47999998"/>
    <n v="0.08"/>
    <n v="23"/>
    <n v="47399"/>
    <n v="0.05"/>
  </r>
  <r>
    <x v="27"/>
    <x v="13"/>
    <n v="120.789999999999"/>
    <n v="303593.40000000002"/>
    <n v="0.04"/>
    <n v="3"/>
    <n v="2416"/>
    <n v="0.12"/>
  </r>
  <r>
    <x v="27"/>
    <x v="3"/>
    <n v="104.5"/>
    <n v="683400.24999999895"/>
    <n v="0.02"/>
    <n v="5"/>
    <n v="5736"/>
    <n v="0.09"/>
  </r>
  <r>
    <x v="27"/>
    <x v="2"/>
    <n v="268.77999999999997"/>
    <n v="1577629.1"/>
    <n v="0.02"/>
    <n v="4"/>
    <n v="13110"/>
    <n v="0.03"/>
  </r>
  <r>
    <x v="27"/>
    <x v="8"/>
    <n v="153.6"/>
    <n v="751552.01999999897"/>
    <n v="0.02"/>
    <n v="4"/>
    <n v="6265"/>
    <n v="0.06"/>
  </r>
  <r>
    <x v="27"/>
    <x v="6"/>
    <n v="402.159999999999"/>
    <n v="1803168.25"/>
    <n v="0.02"/>
    <n v="12"/>
    <n v="14468"/>
    <n v="0.08"/>
  </r>
  <r>
    <x v="27"/>
    <x v="1"/>
    <n v="19.899999999999999"/>
    <n v="293729.82999999903"/>
    <n v="0.01"/>
    <n v="1"/>
    <n v="2316"/>
    <n v="0.04"/>
  </r>
  <r>
    <x v="27"/>
    <x v="10"/>
    <n v="44.8"/>
    <n v="514179.52999999898"/>
    <n v="0.01"/>
    <n v="2"/>
    <n v="4156"/>
    <n v="0.05"/>
  </r>
  <r>
    <x v="27"/>
    <x v="0"/>
    <n v="34.799999999999997"/>
    <n v="261821.53999999899"/>
    <n v="0.01"/>
    <n v="2"/>
    <n v="1796"/>
    <n v="0.11"/>
  </r>
  <r>
    <x v="28"/>
    <x v="3"/>
    <n v="5896.1"/>
    <n v="683400.24999999895"/>
    <n v="0.86"/>
    <n v="46"/>
    <n v="5736"/>
    <n v="0.8"/>
  </r>
  <r>
    <x v="28"/>
    <x v="8"/>
    <n v="6141.3799999999901"/>
    <n v="751552.01999999897"/>
    <n v="0.82"/>
    <n v="44"/>
    <n v="6265"/>
    <n v="0.7"/>
  </r>
  <r>
    <x v="28"/>
    <x v="11"/>
    <n v="1680.9"/>
    <n v="226813.40999999901"/>
    <n v="0.74"/>
    <n v="7"/>
    <n v="1472"/>
    <n v="0.48"/>
  </r>
  <r>
    <x v="28"/>
    <x v="5"/>
    <n v="35941.839999999902"/>
    <n v="5195744.47999998"/>
    <n v="0.69"/>
    <n v="359"/>
    <n v="47399"/>
    <n v="0.76"/>
  </r>
  <r>
    <x v="28"/>
    <x v="9"/>
    <n v="1022.29"/>
    <n v="155690.51"/>
    <n v="0.66"/>
    <n v="8"/>
    <n v="1047"/>
    <n v="0.76"/>
  </r>
  <r>
    <x v="28"/>
    <x v="13"/>
    <n v="1811.43"/>
    <n v="303593.40000000002"/>
    <n v="0.6"/>
    <n v="16"/>
    <n v="2416"/>
    <n v="0.66"/>
  </r>
  <r>
    <x v="28"/>
    <x v="10"/>
    <n v="3048.51"/>
    <n v="514179.52999999898"/>
    <n v="0.59"/>
    <n v="25"/>
    <n v="4156"/>
    <n v="0.6"/>
  </r>
  <r>
    <x v="28"/>
    <x v="7"/>
    <n v="2764.79"/>
    <n v="508609.12999999902"/>
    <n v="0.54"/>
    <n v="40"/>
    <n v="3766"/>
    <n v="1.06"/>
  </r>
  <r>
    <x v="28"/>
    <x v="6"/>
    <n v="9358.58"/>
    <n v="1803168.25"/>
    <n v="0.52"/>
    <n v="93"/>
    <n v="14468"/>
    <n v="0.64"/>
  </r>
  <r>
    <x v="28"/>
    <x v="12"/>
    <n v="1120.96"/>
    <n v="263711.51999999897"/>
    <n v="0.43"/>
    <n v="15"/>
    <n v="2237"/>
    <n v="0.67"/>
  </r>
  <r>
    <x v="28"/>
    <x v="2"/>
    <n v="6074.6299999999901"/>
    <n v="1577629.1"/>
    <n v="0.39"/>
    <n v="93"/>
    <n v="13110"/>
    <n v="0.71"/>
  </r>
  <r>
    <x v="28"/>
    <x v="4"/>
    <n v="650.54999999999995"/>
    <n v="175925.19"/>
    <n v="0.37"/>
    <n v="10"/>
    <n v="1067"/>
    <n v="0.94"/>
  </r>
  <r>
    <x v="28"/>
    <x v="1"/>
    <n v="714.28"/>
    <n v="293729.82999999903"/>
    <n v="0.24"/>
    <n v="14"/>
    <n v="2316"/>
    <n v="0.6"/>
  </r>
  <r>
    <x v="28"/>
    <x v="0"/>
    <n v="237.65"/>
    <n v="261821.53999999899"/>
    <n v="0.09"/>
    <n v="5"/>
    <n v="1796"/>
    <n v="0.28000000000000003"/>
  </r>
  <r>
    <x v="29"/>
    <x v="6"/>
    <n v="28751.61"/>
    <n v="1803168.25"/>
    <n v="1.59"/>
    <n v="45"/>
    <n v="14468"/>
    <n v="0.31"/>
  </r>
  <r>
    <x v="29"/>
    <x v="10"/>
    <n v="7989.3799999999901"/>
    <n v="514179.52999999898"/>
    <n v="1.55"/>
    <n v="17"/>
    <n v="4156"/>
    <n v="0.41"/>
  </r>
  <r>
    <x v="29"/>
    <x v="8"/>
    <n v="10800.18"/>
    <n v="751552.01999999897"/>
    <n v="1.44"/>
    <n v="12"/>
    <n v="6265"/>
    <n v="0.19"/>
  </r>
  <r>
    <x v="29"/>
    <x v="11"/>
    <n v="2653.9"/>
    <n v="226813.40999999901"/>
    <n v="1.17"/>
    <n v="3"/>
    <n v="1472"/>
    <n v="0.2"/>
  </r>
  <r>
    <x v="29"/>
    <x v="3"/>
    <n v="7359.82"/>
    <n v="683400.24999999895"/>
    <n v="1.08"/>
    <n v="16"/>
    <n v="5736"/>
    <n v="0.28000000000000003"/>
  </r>
  <r>
    <x v="29"/>
    <x v="13"/>
    <n v="2733.9"/>
    <n v="303593.40000000002"/>
    <n v="0.9"/>
    <n v="5"/>
    <n v="2416"/>
    <n v="0.21"/>
  </r>
  <r>
    <x v="29"/>
    <x v="5"/>
    <n v="33073.7599999999"/>
    <n v="5195744.47999998"/>
    <n v="0.64"/>
    <n v="89"/>
    <n v="47399"/>
    <n v="0.19"/>
  </r>
  <r>
    <x v="29"/>
    <x v="1"/>
    <n v="1537.9"/>
    <n v="293729.82999999903"/>
    <n v="0.52"/>
    <n v="3"/>
    <n v="2316"/>
    <n v="0.13"/>
  </r>
  <r>
    <x v="29"/>
    <x v="9"/>
    <n v="815.79"/>
    <n v="155690.51"/>
    <n v="0.52"/>
    <n v="3"/>
    <n v="1047"/>
    <n v="0.28999999999999998"/>
  </r>
  <r>
    <x v="29"/>
    <x v="12"/>
    <n v="1149.99"/>
    <n v="263711.51999999897"/>
    <n v="0.44"/>
    <n v="3"/>
    <n v="2237"/>
    <n v="0.13"/>
  </r>
  <r>
    <x v="29"/>
    <x v="2"/>
    <n v="6505.4299999999903"/>
    <n v="1577629.1"/>
    <n v="0.41"/>
    <n v="20"/>
    <n v="13110"/>
    <n v="0.15"/>
  </r>
  <r>
    <x v="29"/>
    <x v="7"/>
    <n v="2053.7799999999902"/>
    <n v="508609.12999999902"/>
    <n v="0.4"/>
    <n v="6"/>
    <n v="3766"/>
    <n v="0.16"/>
  </r>
  <r>
    <x v="29"/>
    <x v="0"/>
    <n v="959.99"/>
    <n v="261821.53999999899"/>
    <n v="0.37"/>
    <n v="2"/>
    <n v="1796"/>
    <n v="0.11"/>
  </r>
  <r>
    <x v="30"/>
    <x v="11"/>
    <n v="3768.9"/>
    <n v="226813.40999999901"/>
    <n v="1.66"/>
    <n v="46"/>
    <n v="1472"/>
    <n v="3.13"/>
  </r>
  <r>
    <x v="30"/>
    <x v="4"/>
    <n v="2875.88"/>
    <n v="175925.19"/>
    <n v="1.63"/>
    <n v="28"/>
    <n v="1067"/>
    <n v="2.62"/>
  </r>
  <r>
    <x v="30"/>
    <x v="3"/>
    <n v="10951.809999999899"/>
    <n v="683400.24999999895"/>
    <n v="1.6"/>
    <n v="181"/>
    <n v="5736"/>
    <n v="3.16"/>
  </r>
  <r>
    <x v="30"/>
    <x v="6"/>
    <n v="25614.709999999901"/>
    <n v="1803168.25"/>
    <n v="1.42"/>
    <n v="433"/>
    <n v="14468"/>
    <n v="2.99"/>
  </r>
  <r>
    <x v="30"/>
    <x v="12"/>
    <n v="3697.24"/>
    <n v="263711.51999999897"/>
    <n v="1.4"/>
    <n v="78"/>
    <n v="2237"/>
    <n v="3.49"/>
  </r>
  <r>
    <x v="30"/>
    <x v="2"/>
    <n v="20531.4899999999"/>
    <n v="1577629.1"/>
    <n v="1.3"/>
    <n v="294"/>
    <n v="13110"/>
    <n v="2.2400000000000002"/>
  </r>
  <r>
    <x v="30"/>
    <x v="7"/>
    <n v="6252.13"/>
    <n v="508609.12999999902"/>
    <n v="1.23"/>
    <n v="108"/>
    <n v="3766"/>
    <n v="2.87"/>
  </r>
  <r>
    <x v="30"/>
    <x v="10"/>
    <n v="5762.37"/>
    <n v="514179.52999999898"/>
    <n v="1.1200000000000001"/>
    <n v="123"/>
    <n v="4156"/>
    <n v="2.96"/>
  </r>
  <r>
    <x v="30"/>
    <x v="8"/>
    <n v="8303.81"/>
    <n v="751552.01999999897"/>
    <n v="1.1000000000000001"/>
    <n v="164"/>
    <n v="6265"/>
    <n v="2.62"/>
  </r>
  <r>
    <x v="30"/>
    <x v="5"/>
    <n v="52948.4399999999"/>
    <n v="5195744.47999998"/>
    <n v="1.02"/>
    <n v="1000"/>
    <n v="47399"/>
    <n v="2.11"/>
  </r>
  <r>
    <x v="30"/>
    <x v="13"/>
    <n v="2458.03999999999"/>
    <n v="303593.40000000002"/>
    <n v="0.81"/>
    <n v="51"/>
    <n v="2416"/>
    <n v="2.11"/>
  </r>
  <r>
    <x v="30"/>
    <x v="0"/>
    <n v="1938.06"/>
    <n v="261821.53999999899"/>
    <n v="0.74"/>
    <n v="39"/>
    <n v="1796"/>
    <n v="2.17"/>
  </r>
  <r>
    <x v="30"/>
    <x v="9"/>
    <n v="985.66"/>
    <n v="155690.51"/>
    <n v="0.63"/>
    <n v="26"/>
    <n v="1047"/>
    <n v="2.48"/>
  </r>
  <r>
    <x v="30"/>
    <x v="1"/>
    <n v="854.75"/>
    <n v="293729.82999999903"/>
    <n v="0.28999999999999998"/>
    <n v="33"/>
    <n v="2316"/>
    <n v="1.42"/>
  </r>
  <r>
    <x v="31"/>
    <x v="13"/>
    <n v="11936.13"/>
    <n v="303593.40000000002"/>
    <n v="3.93"/>
    <n v="24"/>
    <n v="2416"/>
    <n v="0.99"/>
  </r>
  <r>
    <x v="31"/>
    <x v="9"/>
    <n v="3502.9"/>
    <n v="155690.51"/>
    <n v="2.25"/>
    <n v="8"/>
    <n v="1047"/>
    <n v="0.76"/>
  </r>
  <r>
    <x v="31"/>
    <x v="11"/>
    <n v="5043.29"/>
    <n v="226813.40999999901"/>
    <n v="2.2200000000000002"/>
    <n v="8"/>
    <n v="1472"/>
    <n v="0.54"/>
  </r>
  <r>
    <x v="31"/>
    <x v="8"/>
    <n v="15317.699999999901"/>
    <n v="751552.01999999897"/>
    <n v="2.04"/>
    <n v="45"/>
    <n v="6265"/>
    <n v="0.72"/>
  </r>
  <r>
    <x v="31"/>
    <x v="4"/>
    <n v="3366.25"/>
    <n v="175925.19"/>
    <n v="1.91"/>
    <n v="9"/>
    <n v="1067"/>
    <n v="0.84"/>
  </r>
  <r>
    <x v="31"/>
    <x v="10"/>
    <n v="8521.0400000000009"/>
    <n v="514179.52999999898"/>
    <n v="1.66"/>
    <n v="27"/>
    <n v="4156"/>
    <n v="0.65"/>
  </r>
  <r>
    <x v="31"/>
    <x v="3"/>
    <n v="11217.34"/>
    <n v="683400.24999999895"/>
    <n v="1.64"/>
    <n v="42"/>
    <n v="5736"/>
    <n v="0.73"/>
  </r>
  <r>
    <x v="31"/>
    <x v="6"/>
    <n v="28708.3999999999"/>
    <n v="1803168.25"/>
    <n v="1.59"/>
    <n v="87"/>
    <n v="14468"/>
    <n v="0.6"/>
  </r>
  <r>
    <x v="31"/>
    <x v="5"/>
    <n v="72000.509999999995"/>
    <n v="5195744.47999998"/>
    <n v="1.39"/>
    <n v="306"/>
    <n v="47399"/>
    <n v="0.65"/>
  </r>
  <r>
    <x v="31"/>
    <x v="2"/>
    <n v="17442.089999999898"/>
    <n v="1577629.1"/>
    <n v="1.1100000000000001"/>
    <n v="65"/>
    <n v="13110"/>
    <n v="0.5"/>
  </r>
  <r>
    <x v="31"/>
    <x v="1"/>
    <n v="2679.88"/>
    <n v="293729.82999999903"/>
    <n v="0.91"/>
    <n v="11"/>
    <n v="2316"/>
    <n v="0.47"/>
  </r>
  <r>
    <x v="31"/>
    <x v="7"/>
    <n v="3871.96"/>
    <n v="508609.12999999902"/>
    <n v="0.76"/>
    <n v="18"/>
    <n v="3766"/>
    <n v="0.48"/>
  </r>
  <r>
    <x v="31"/>
    <x v="0"/>
    <n v="781.89"/>
    <n v="261821.53999999899"/>
    <n v="0.3"/>
    <n v="3"/>
    <n v="1796"/>
    <n v="0.17"/>
  </r>
  <r>
    <x v="31"/>
    <x v="12"/>
    <n v="668.75"/>
    <n v="263711.51999999897"/>
    <n v="0.25"/>
    <n v="3"/>
    <n v="2237"/>
    <n v="0.13"/>
  </r>
  <r>
    <x v="32"/>
    <x v="3"/>
    <n v="58513.71"/>
    <n v="683400.24999999895"/>
    <n v="8.56"/>
    <n v="485"/>
    <n v="5736"/>
    <n v="8.4600000000000009"/>
  </r>
  <r>
    <x v="32"/>
    <x v="10"/>
    <n v="43946.909999999902"/>
    <n v="514179.52999999898"/>
    <n v="8.5500000000000007"/>
    <n v="360"/>
    <n v="4156"/>
    <n v="8.66"/>
  </r>
  <r>
    <x v="32"/>
    <x v="0"/>
    <n v="20215.119999999901"/>
    <n v="261821.53999999899"/>
    <n v="7.72"/>
    <n v="147"/>
    <n v="1796"/>
    <n v="8.18"/>
  </r>
  <r>
    <x v="32"/>
    <x v="7"/>
    <n v="38843.0799999999"/>
    <n v="508609.12999999902"/>
    <n v="7.64"/>
    <n v="293"/>
    <n v="3766"/>
    <n v="7.78"/>
  </r>
  <r>
    <x v="32"/>
    <x v="13"/>
    <n v="23101.1499999999"/>
    <n v="303593.40000000002"/>
    <n v="7.61"/>
    <n v="226"/>
    <n v="2416"/>
    <n v="9.35"/>
  </r>
  <r>
    <x v="32"/>
    <x v="12"/>
    <n v="19814.1899999999"/>
    <n v="263711.51999999897"/>
    <n v="7.51"/>
    <n v="173"/>
    <n v="2237"/>
    <n v="7.73"/>
  </r>
  <r>
    <x v="32"/>
    <x v="5"/>
    <n v="385714.27999999799"/>
    <n v="5195744.47999998"/>
    <n v="7.42"/>
    <n v="3666"/>
    <n v="47399"/>
    <n v="7.73"/>
  </r>
  <r>
    <x v="32"/>
    <x v="8"/>
    <n v="54278.459999999897"/>
    <n v="751552.01999999897"/>
    <n v="7.22"/>
    <n v="483"/>
    <n v="6265"/>
    <n v="7.71"/>
  </r>
  <r>
    <x v="32"/>
    <x v="2"/>
    <n v="112760.43"/>
    <n v="1577629.1"/>
    <n v="7.15"/>
    <n v="968"/>
    <n v="13110"/>
    <n v="7.38"/>
  </r>
  <r>
    <x v="32"/>
    <x v="4"/>
    <n v="12293.449999999901"/>
    <n v="175925.19"/>
    <n v="6.99"/>
    <n v="83"/>
    <n v="1067"/>
    <n v="7.78"/>
  </r>
  <r>
    <x v="32"/>
    <x v="6"/>
    <n v="124625.72"/>
    <n v="1803168.25"/>
    <n v="6.91"/>
    <n v="1039"/>
    <n v="14468"/>
    <n v="7.18"/>
  </r>
  <r>
    <x v="32"/>
    <x v="1"/>
    <n v="19516.059999999899"/>
    <n v="293729.82999999903"/>
    <n v="6.64"/>
    <n v="166"/>
    <n v="2316"/>
    <n v="7.17"/>
  </r>
  <r>
    <x v="32"/>
    <x v="9"/>
    <n v="9642.92"/>
    <n v="155690.51"/>
    <n v="6.19"/>
    <n v="77"/>
    <n v="1047"/>
    <n v="7.35"/>
  </r>
  <r>
    <x v="32"/>
    <x v="11"/>
    <n v="10468.459999999999"/>
    <n v="226813.40999999901"/>
    <n v="4.62"/>
    <n v="92"/>
    <n v="1472"/>
    <n v="6.25"/>
  </r>
  <r>
    <x v="33"/>
    <x v="2"/>
    <n v="23201.8999999999"/>
    <n v="1577629.1"/>
    <n v="1.47"/>
    <n v="266"/>
    <n v="13110"/>
    <n v="2.0299999999999998"/>
  </r>
  <r>
    <x v="33"/>
    <x v="7"/>
    <n v="6880.49"/>
    <n v="508609.12999999902"/>
    <n v="1.35"/>
    <n v="80"/>
    <n v="3766"/>
    <n v="2.12"/>
  </r>
  <r>
    <x v="33"/>
    <x v="12"/>
    <n v="3569.94"/>
    <n v="263711.51999999897"/>
    <n v="1.35"/>
    <n v="50"/>
    <n v="2237"/>
    <n v="2.2400000000000002"/>
  </r>
  <r>
    <x v="33"/>
    <x v="13"/>
    <n v="3730.08"/>
    <n v="303593.40000000002"/>
    <n v="1.23"/>
    <n v="46"/>
    <n v="2416"/>
    <n v="1.9"/>
  </r>
  <r>
    <x v="33"/>
    <x v="10"/>
    <n v="6235.96"/>
    <n v="514179.52999999898"/>
    <n v="1.21"/>
    <n v="79"/>
    <n v="4156"/>
    <n v="1.9"/>
  </r>
  <r>
    <x v="33"/>
    <x v="11"/>
    <n v="2667.73"/>
    <n v="226813.40999999901"/>
    <n v="1.18"/>
    <n v="30"/>
    <n v="1472"/>
    <n v="2.04"/>
  </r>
  <r>
    <x v="33"/>
    <x v="4"/>
    <n v="2067.5500000000002"/>
    <n v="175925.19"/>
    <n v="1.18"/>
    <n v="30"/>
    <n v="1067"/>
    <n v="2.81"/>
  </r>
  <r>
    <x v="33"/>
    <x v="3"/>
    <n v="7894.38"/>
    <n v="683400.24999999895"/>
    <n v="1.1599999999999999"/>
    <n v="117"/>
    <n v="5736"/>
    <n v="2.04"/>
  </r>
  <r>
    <x v="33"/>
    <x v="8"/>
    <n v="8326.3700000000008"/>
    <n v="751552.01999999897"/>
    <n v="1.1100000000000001"/>
    <n v="82"/>
    <n v="6265"/>
    <n v="1.31"/>
  </r>
  <r>
    <x v="33"/>
    <x v="5"/>
    <n v="57338.489999999903"/>
    <n v="5195744.47999998"/>
    <n v="1.1000000000000001"/>
    <n v="862"/>
    <n v="47399"/>
    <n v="1.82"/>
  </r>
  <r>
    <x v="33"/>
    <x v="1"/>
    <n v="3160.6899999999901"/>
    <n v="293729.82999999903"/>
    <n v="1.08"/>
    <n v="45"/>
    <n v="2316"/>
    <n v="1.94"/>
  </r>
  <r>
    <x v="33"/>
    <x v="0"/>
    <n v="2506.7199999999998"/>
    <n v="261821.53999999899"/>
    <n v="0.96"/>
    <n v="40"/>
    <n v="1796"/>
    <n v="2.23"/>
  </r>
  <r>
    <x v="33"/>
    <x v="6"/>
    <n v="16221.799999999899"/>
    <n v="1803168.25"/>
    <n v="0.9"/>
    <n v="199"/>
    <n v="14468"/>
    <n v="1.38"/>
  </r>
  <r>
    <x v="33"/>
    <x v="9"/>
    <n v="665.36999999999898"/>
    <n v="155690.51"/>
    <n v="0.43"/>
    <n v="14"/>
    <n v="1047"/>
    <n v="1.34"/>
  </r>
  <r>
    <x v="34"/>
    <x v="0"/>
    <n v="1221.42"/>
    <n v="261821.53999999899"/>
    <n v="0.47"/>
    <n v="11"/>
    <n v="1796"/>
    <n v="0.61"/>
  </r>
  <r>
    <x v="34"/>
    <x v="1"/>
    <n v="1022.3"/>
    <n v="293729.82999999903"/>
    <n v="0.35"/>
    <n v="7"/>
    <n v="2316"/>
    <n v="0.3"/>
  </r>
  <r>
    <x v="34"/>
    <x v="9"/>
    <n v="478.5"/>
    <n v="155690.51"/>
    <n v="0.31"/>
    <n v="3"/>
    <n v="1047"/>
    <n v="0.28999999999999998"/>
  </r>
  <r>
    <x v="34"/>
    <x v="13"/>
    <n v="944.58999999999901"/>
    <n v="303593.40000000002"/>
    <n v="0.31"/>
    <n v="7"/>
    <n v="2416"/>
    <n v="0.28999999999999998"/>
  </r>
  <r>
    <x v="34"/>
    <x v="4"/>
    <n v="542.4"/>
    <n v="175925.19"/>
    <n v="0.31"/>
    <n v="4"/>
    <n v="1067"/>
    <n v="0.37"/>
  </r>
  <r>
    <x v="34"/>
    <x v="12"/>
    <n v="780.3"/>
    <n v="263711.51999999897"/>
    <n v="0.3"/>
    <n v="5"/>
    <n v="2237"/>
    <n v="0.22"/>
  </r>
  <r>
    <x v="34"/>
    <x v="2"/>
    <n v="3194.48"/>
    <n v="1577629.1"/>
    <n v="0.2"/>
    <n v="43"/>
    <n v="13110"/>
    <n v="0.33"/>
  </r>
  <r>
    <x v="34"/>
    <x v="7"/>
    <n v="851.5"/>
    <n v="508609.12999999902"/>
    <n v="0.17"/>
    <n v="7"/>
    <n v="3766"/>
    <n v="0.19"/>
  </r>
  <r>
    <x v="34"/>
    <x v="10"/>
    <n v="750.1"/>
    <n v="514179.52999999898"/>
    <n v="0.15"/>
    <n v="7"/>
    <n v="4156"/>
    <n v="0.17"/>
  </r>
  <r>
    <x v="34"/>
    <x v="6"/>
    <n v="2351.21"/>
    <n v="1803168.25"/>
    <n v="0.13"/>
    <n v="28"/>
    <n v="14468"/>
    <n v="0.19"/>
  </r>
  <r>
    <x v="34"/>
    <x v="5"/>
    <n v="7013.4"/>
    <n v="5195744.47999998"/>
    <n v="0.13"/>
    <n v="93"/>
    <n v="47399"/>
    <n v="0.2"/>
  </r>
  <r>
    <x v="34"/>
    <x v="3"/>
    <n v="897.219999999999"/>
    <n v="683400.24999999895"/>
    <n v="0.13"/>
    <n v="16"/>
    <n v="5736"/>
    <n v="0.28000000000000003"/>
  </r>
  <r>
    <x v="34"/>
    <x v="11"/>
    <n v="249.7"/>
    <n v="226813.40999999901"/>
    <n v="0.11"/>
    <n v="3"/>
    <n v="1472"/>
    <n v="0.2"/>
  </r>
  <r>
    <x v="34"/>
    <x v="8"/>
    <n v="742.8"/>
    <n v="751552.01999999897"/>
    <n v="0.1"/>
    <n v="10"/>
    <n v="6265"/>
    <n v="0.16"/>
  </r>
  <r>
    <x v="35"/>
    <x v="4"/>
    <n v="159.6"/>
    <n v="175925.19"/>
    <n v="0.09"/>
    <n v="4"/>
    <n v="1067"/>
    <n v="0.37"/>
  </r>
  <r>
    <x v="35"/>
    <x v="10"/>
    <n v="169.75"/>
    <n v="514179.52999999898"/>
    <n v="0.03"/>
    <n v="3"/>
    <n v="4156"/>
    <n v="7.0000000000000007E-2"/>
  </r>
  <r>
    <x v="35"/>
    <x v="13"/>
    <n v="49.98"/>
    <n v="303593.40000000002"/>
    <n v="0.02"/>
    <n v="2"/>
    <n v="2416"/>
    <n v="0.08"/>
  </r>
  <r>
    <x v="35"/>
    <x v="5"/>
    <n v="939.8"/>
    <n v="5195744.47999998"/>
    <n v="0.02"/>
    <n v="12"/>
    <n v="47399"/>
    <n v="0.03"/>
  </r>
  <r>
    <x v="35"/>
    <x v="7"/>
    <n v="124.88999999999901"/>
    <n v="508609.12999999902"/>
    <n v="0.02"/>
    <n v="2"/>
    <n v="3766"/>
    <n v="0.05"/>
  </r>
  <r>
    <x v="35"/>
    <x v="2"/>
    <n v="264.89999999999998"/>
    <n v="1577629.1"/>
    <n v="0.02"/>
    <n v="2"/>
    <n v="13110"/>
    <n v="0.02"/>
  </r>
  <r>
    <x v="35"/>
    <x v="8"/>
    <n v="49.98"/>
    <n v="751552.01999999897"/>
    <n v="0.01"/>
    <n v="2"/>
    <n v="6265"/>
    <n v="0.03"/>
  </r>
  <r>
    <x v="35"/>
    <x v="6"/>
    <n v="129.80000000000001"/>
    <n v="1803168.25"/>
    <n v="0.01"/>
    <n v="2"/>
    <n v="14468"/>
    <n v="0.01"/>
  </r>
  <r>
    <x v="35"/>
    <x v="3"/>
    <n v="49.9"/>
    <n v="683400.24999999895"/>
    <n v="0.01"/>
    <n v="1"/>
    <n v="5736"/>
    <n v="0.02"/>
  </r>
  <r>
    <x v="36"/>
    <x v="1"/>
    <n v="204.8"/>
    <n v="293729.82999999903"/>
    <n v="7.0000000000000007E-2"/>
    <n v="2"/>
    <n v="2316"/>
    <n v="0.09"/>
  </r>
  <r>
    <x v="36"/>
    <x v="13"/>
    <n v="129.9"/>
    <n v="303593.40000000002"/>
    <n v="0.04"/>
    <n v="1"/>
    <n v="2416"/>
    <n v="0.04"/>
  </r>
  <r>
    <x v="36"/>
    <x v="12"/>
    <n v="115"/>
    <n v="263711.51999999897"/>
    <n v="0.04"/>
    <n v="1"/>
    <n v="2237"/>
    <n v="0.04"/>
  </r>
  <r>
    <x v="36"/>
    <x v="2"/>
    <n v="475.67999999999898"/>
    <n v="1577629.1"/>
    <n v="0.03"/>
    <n v="7"/>
    <n v="13110"/>
    <n v="0.05"/>
  </r>
  <r>
    <x v="36"/>
    <x v="5"/>
    <n v="1534.77"/>
    <n v="5195744.47999998"/>
    <n v="0.03"/>
    <n v="30"/>
    <n v="47399"/>
    <n v="0.06"/>
  </r>
  <r>
    <x v="36"/>
    <x v="9"/>
    <n v="34.99"/>
    <n v="155690.51"/>
    <n v="0.02"/>
    <n v="1"/>
    <n v="1047"/>
    <n v="0.1"/>
  </r>
  <r>
    <x v="36"/>
    <x v="3"/>
    <n v="89.9"/>
    <n v="683400.24999999895"/>
    <n v="0.01"/>
    <n v="2"/>
    <n v="5736"/>
    <n v="0.03"/>
  </r>
  <r>
    <x v="36"/>
    <x v="6"/>
    <n v="109.8"/>
    <n v="1803168.25"/>
    <n v="0.01"/>
    <n v="2"/>
    <n v="14468"/>
    <n v="0.01"/>
  </r>
  <r>
    <x v="36"/>
    <x v="7"/>
    <n v="64.900000000000006"/>
    <n v="508609.12999999902"/>
    <n v="0.01"/>
    <n v="1"/>
    <n v="3766"/>
    <n v="0.03"/>
  </r>
  <r>
    <x v="36"/>
    <x v="10"/>
    <n v="19.899999999999999"/>
    <n v="514179.52999999898"/>
    <n v="0"/>
    <n v="1"/>
    <n v="4156"/>
    <n v="0.02"/>
  </r>
  <r>
    <x v="37"/>
    <x v="10"/>
    <n v="89.89"/>
    <n v="514179.52999999898"/>
    <n v="0.02"/>
    <n v="2"/>
    <n v="4156"/>
    <n v="0.05"/>
  </r>
  <r>
    <x v="37"/>
    <x v="7"/>
    <n v="89.99"/>
    <n v="508609.12999999902"/>
    <n v="0.02"/>
    <n v="1"/>
    <n v="3766"/>
    <n v="0.03"/>
  </r>
  <r>
    <x v="37"/>
    <x v="6"/>
    <n v="110"/>
    <n v="1803168.25"/>
    <n v="0.01"/>
    <n v="1"/>
    <n v="14468"/>
    <n v="0.01"/>
  </r>
  <r>
    <x v="37"/>
    <x v="5"/>
    <n v="279.97000000000003"/>
    <n v="5195744.47999998"/>
    <n v="0.01"/>
    <n v="4"/>
    <n v="47399"/>
    <n v="0.01"/>
  </r>
  <r>
    <x v="38"/>
    <x v="7"/>
    <n v="960.8"/>
    <n v="508609.12999999902"/>
    <n v="0.19"/>
    <n v="9"/>
    <n v="3766"/>
    <n v="0.24"/>
  </r>
  <r>
    <x v="38"/>
    <x v="3"/>
    <n v="1061.28"/>
    <n v="683400.24999999895"/>
    <n v="0.16"/>
    <n v="12"/>
    <n v="5736"/>
    <n v="0.21"/>
  </r>
  <r>
    <x v="38"/>
    <x v="4"/>
    <n v="256.89"/>
    <n v="175925.19"/>
    <n v="0.15"/>
    <n v="2"/>
    <n v="1067"/>
    <n v="0.19"/>
  </r>
  <r>
    <x v="38"/>
    <x v="1"/>
    <n v="308.60000000000002"/>
    <n v="293729.82999999903"/>
    <n v="0.11"/>
    <n v="3"/>
    <n v="2316"/>
    <n v="0.13"/>
  </r>
  <r>
    <x v="38"/>
    <x v="2"/>
    <n v="1536.72999999999"/>
    <n v="1577629.1"/>
    <n v="0.1"/>
    <n v="20"/>
    <n v="13110"/>
    <n v="0.15"/>
  </r>
  <r>
    <x v="38"/>
    <x v="12"/>
    <n v="250.8"/>
    <n v="263711.51999999897"/>
    <n v="0.1"/>
    <n v="2"/>
    <n v="2237"/>
    <n v="0.09"/>
  </r>
  <r>
    <x v="38"/>
    <x v="9"/>
    <n v="147.5"/>
    <n v="155690.51"/>
    <n v="0.09"/>
    <n v="1"/>
    <n v="1047"/>
    <n v="0.1"/>
  </r>
  <r>
    <x v="38"/>
    <x v="8"/>
    <n v="638.79"/>
    <n v="751552.01999999897"/>
    <n v="0.08"/>
    <n v="9"/>
    <n v="6265"/>
    <n v="0.14000000000000001"/>
  </r>
  <r>
    <x v="38"/>
    <x v="5"/>
    <n v="4294.28"/>
    <n v="5195744.47999998"/>
    <n v="0.08"/>
    <n v="57"/>
    <n v="47399"/>
    <n v="0.12"/>
  </r>
  <r>
    <x v="38"/>
    <x v="6"/>
    <n v="967.37"/>
    <n v="1803168.25"/>
    <n v="0.05"/>
    <n v="12"/>
    <n v="14468"/>
    <n v="0.08"/>
  </r>
  <r>
    <x v="38"/>
    <x v="10"/>
    <n v="89.89"/>
    <n v="514179.52999999898"/>
    <n v="0.02"/>
    <n v="2"/>
    <n v="4156"/>
    <n v="0.05"/>
  </r>
  <r>
    <x v="38"/>
    <x v="11"/>
    <n v="29.99"/>
    <n v="226813.40999999901"/>
    <n v="0.01"/>
    <n v="1"/>
    <n v="1472"/>
    <n v="7.0000000000000007E-2"/>
  </r>
  <r>
    <x v="39"/>
    <x v="1"/>
    <n v="457.7"/>
    <n v="293729.82999999903"/>
    <n v="0.16"/>
    <n v="5"/>
    <n v="2316"/>
    <n v="0.22"/>
  </r>
  <r>
    <x v="39"/>
    <x v="7"/>
    <n v="638.70000000000005"/>
    <n v="508609.12999999902"/>
    <n v="0.13"/>
    <n v="6"/>
    <n v="3766"/>
    <n v="0.16"/>
  </r>
  <r>
    <x v="39"/>
    <x v="4"/>
    <n v="181.7"/>
    <n v="175925.19"/>
    <n v="0.1"/>
    <n v="3"/>
    <n v="1067"/>
    <n v="0.28000000000000003"/>
  </r>
  <r>
    <x v="39"/>
    <x v="0"/>
    <n v="201.9"/>
    <n v="261821.53999999899"/>
    <n v="0.08"/>
    <n v="2"/>
    <n v="1796"/>
    <n v="0.11"/>
  </r>
  <r>
    <x v="39"/>
    <x v="6"/>
    <n v="1359.46999999999"/>
    <n v="1803168.25"/>
    <n v="0.08"/>
    <n v="17"/>
    <n v="14468"/>
    <n v="0.12"/>
  </r>
  <r>
    <x v="39"/>
    <x v="10"/>
    <n v="367.2"/>
    <n v="514179.52999999898"/>
    <n v="7.0000000000000007E-2"/>
    <n v="8"/>
    <n v="4156"/>
    <n v="0.19"/>
  </r>
  <r>
    <x v="39"/>
    <x v="5"/>
    <n v="3670.75"/>
    <n v="5195744.47999998"/>
    <n v="7.0000000000000007E-2"/>
    <n v="55"/>
    <n v="47399"/>
    <n v="0.12"/>
  </r>
  <r>
    <x v="39"/>
    <x v="2"/>
    <n v="1020.9"/>
    <n v="1577629.1"/>
    <n v="0.06"/>
    <n v="17"/>
    <n v="13110"/>
    <n v="0.13"/>
  </r>
  <r>
    <x v="39"/>
    <x v="8"/>
    <n v="397.8"/>
    <n v="751552.01999999897"/>
    <n v="0.05"/>
    <n v="3"/>
    <n v="6265"/>
    <n v="0.05"/>
  </r>
  <r>
    <x v="39"/>
    <x v="9"/>
    <n v="79.900000000000006"/>
    <n v="155690.51"/>
    <n v="0.05"/>
    <n v="1"/>
    <n v="1047"/>
    <n v="0.1"/>
  </r>
  <r>
    <x v="39"/>
    <x v="13"/>
    <n v="146.15"/>
    <n v="303593.40000000002"/>
    <n v="0.05"/>
    <n v="2"/>
    <n v="2416"/>
    <n v="0.08"/>
  </r>
  <r>
    <x v="39"/>
    <x v="3"/>
    <n v="265.58"/>
    <n v="683400.24999999895"/>
    <n v="0.04"/>
    <n v="6"/>
    <n v="5736"/>
    <n v="0.1"/>
  </r>
  <r>
    <x v="39"/>
    <x v="12"/>
    <n v="110"/>
    <n v="263711.51999999897"/>
    <n v="0.04"/>
    <n v="1"/>
    <n v="2237"/>
    <n v="0.04"/>
  </r>
  <r>
    <x v="40"/>
    <x v="9"/>
    <n v="8850.1299999999992"/>
    <n v="155690.51"/>
    <n v="5.68"/>
    <n v="53"/>
    <n v="1047"/>
    <n v="5.0599999999999996"/>
  </r>
  <r>
    <x v="40"/>
    <x v="1"/>
    <n v="15579.469999999899"/>
    <n v="293729.82999999903"/>
    <n v="5.3"/>
    <n v="118"/>
    <n v="2316"/>
    <n v="5.09"/>
  </r>
  <r>
    <x v="40"/>
    <x v="8"/>
    <n v="36710.599999999897"/>
    <n v="751552.01999999897"/>
    <n v="4.88"/>
    <n v="291"/>
    <n v="6265"/>
    <n v="4.6399999999999997"/>
  </r>
  <r>
    <x v="40"/>
    <x v="7"/>
    <n v="23816.809999999899"/>
    <n v="508609.12999999902"/>
    <n v="4.68"/>
    <n v="174"/>
    <n v="3766"/>
    <n v="4.62"/>
  </r>
  <r>
    <x v="40"/>
    <x v="10"/>
    <n v="23779.339999999898"/>
    <n v="514179.52999999898"/>
    <n v="4.62"/>
    <n v="183"/>
    <n v="4156"/>
    <n v="4.4000000000000004"/>
  </r>
  <r>
    <x v="40"/>
    <x v="6"/>
    <n v="73802.400000000096"/>
    <n v="1803168.25"/>
    <n v="4.09"/>
    <n v="659"/>
    <n v="14468"/>
    <n v="4.55"/>
  </r>
  <r>
    <x v="40"/>
    <x v="12"/>
    <n v="10687.43"/>
    <n v="263711.51999999897"/>
    <n v="4.05"/>
    <n v="104"/>
    <n v="2237"/>
    <n v="4.6500000000000004"/>
  </r>
  <r>
    <x v="40"/>
    <x v="2"/>
    <n v="60132.47"/>
    <n v="1577629.1"/>
    <n v="3.81"/>
    <n v="604"/>
    <n v="13110"/>
    <n v="4.6100000000000003"/>
  </r>
  <r>
    <x v="40"/>
    <x v="4"/>
    <n v="5556.7199999999903"/>
    <n v="175925.19"/>
    <n v="3.16"/>
    <n v="34"/>
    <n v="1067"/>
    <n v="3.19"/>
  </r>
  <r>
    <x v="40"/>
    <x v="13"/>
    <n v="9197.1799999999894"/>
    <n v="303593.40000000002"/>
    <n v="3.03"/>
    <n v="56"/>
    <n v="2416"/>
    <n v="2.3199999999999998"/>
  </r>
  <r>
    <x v="40"/>
    <x v="3"/>
    <n v="20681.029999999901"/>
    <n v="683400.24999999895"/>
    <n v="3.03"/>
    <n v="209"/>
    <n v="5736"/>
    <n v="3.64"/>
  </r>
  <r>
    <x v="40"/>
    <x v="5"/>
    <n v="151361.35"/>
    <n v="5195744.47999998"/>
    <n v="2.91"/>
    <n v="1553"/>
    <n v="47399"/>
    <n v="3.28"/>
  </r>
  <r>
    <x v="40"/>
    <x v="0"/>
    <n v="7213.53"/>
    <n v="261821.53999999899"/>
    <n v="2.76"/>
    <n v="65"/>
    <n v="1796"/>
    <n v="3.62"/>
  </r>
  <r>
    <x v="40"/>
    <x v="11"/>
    <n v="6135.84"/>
    <n v="226813.40999999901"/>
    <n v="2.71"/>
    <n v="56"/>
    <n v="1472"/>
    <n v="3.8"/>
  </r>
  <r>
    <x v="41"/>
    <x v="12"/>
    <n v="77.89"/>
    <n v="263711.51999999897"/>
    <n v="0.03"/>
    <n v="2"/>
    <n v="2237"/>
    <n v="0.09"/>
  </r>
  <r>
    <x v="41"/>
    <x v="1"/>
    <n v="24.99"/>
    <n v="293729.82999999903"/>
    <n v="0.01"/>
    <n v="1"/>
    <n v="2316"/>
    <n v="0.04"/>
  </r>
  <r>
    <x v="41"/>
    <x v="8"/>
    <n v="75.599999999999994"/>
    <n v="751552.01999999897"/>
    <n v="0.01"/>
    <n v="3"/>
    <n v="6265"/>
    <n v="0.05"/>
  </r>
  <r>
    <x v="41"/>
    <x v="6"/>
    <n v="255.6"/>
    <n v="1803168.25"/>
    <n v="0.01"/>
    <n v="8"/>
    <n v="14468"/>
    <n v="0.06"/>
  </r>
  <r>
    <x v="41"/>
    <x v="2"/>
    <n v="96.29"/>
    <n v="1577629.1"/>
    <n v="0.01"/>
    <n v="5"/>
    <n v="13110"/>
    <n v="0.04"/>
  </r>
  <r>
    <x v="41"/>
    <x v="5"/>
    <n v="438.66999999999899"/>
    <n v="5195744.47999998"/>
    <n v="0.01"/>
    <n v="11"/>
    <n v="47399"/>
    <n v="0.02"/>
  </r>
  <r>
    <x v="42"/>
    <x v="11"/>
    <n v="60"/>
    <n v="226813.40999999901"/>
    <n v="0.03"/>
    <n v="1"/>
    <n v="1472"/>
    <n v="7.0000000000000007E-2"/>
  </r>
  <r>
    <x v="42"/>
    <x v="5"/>
    <n v="1087.69"/>
    <n v="5195744.47999998"/>
    <n v="0.02"/>
    <n v="31"/>
    <n v="47399"/>
    <n v="7.0000000000000007E-2"/>
  </r>
  <r>
    <x v="42"/>
    <x v="3"/>
    <n v="97"/>
    <n v="683400.24999999895"/>
    <n v="0.01"/>
    <n v="2"/>
    <n v="5736"/>
    <n v="0.03"/>
  </r>
  <r>
    <x v="42"/>
    <x v="7"/>
    <n v="38"/>
    <n v="508609.12999999902"/>
    <n v="0.01"/>
    <n v="1"/>
    <n v="3766"/>
    <n v="0.03"/>
  </r>
  <r>
    <x v="42"/>
    <x v="6"/>
    <n v="194.9"/>
    <n v="1803168.25"/>
    <n v="0.01"/>
    <n v="2"/>
    <n v="14468"/>
    <n v="0.01"/>
  </r>
  <r>
    <x v="42"/>
    <x v="2"/>
    <n v="43"/>
    <n v="1577629.1"/>
    <n v="0"/>
    <n v="1"/>
    <n v="13110"/>
    <n v="0.01"/>
  </r>
  <r>
    <x v="43"/>
    <x v="0"/>
    <n v="1528.9"/>
    <n v="261821.53999999899"/>
    <n v="0.57999999999999996"/>
    <n v="4"/>
    <n v="1796"/>
    <n v="0.22"/>
  </r>
  <r>
    <x v="43"/>
    <x v="1"/>
    <n v="1312.14"/>
    <n v="293729.82999999903"/>
    <n v="0.45"/>
    <n v="5"/>
    <n v="2316"/>
    <n v="0.22"/>
  </r>
  <r>
    <x v="43"/>
    <x v="8"/>
    <n v="3223.49"/>
    <n v="751552.01999999897"/>
    <n v="0.43"/>
    <n v="24"/>
    <n v="6265"/>
    <n v="0.38"/>
  </r>
  <r>
    <x v="43"/>
    <x v="13"/>
    <n v="1272"/>
    <n v="303593.40000000002"/>
    <n v="0.42"/>
    <n v="6"/>
    <n v="2416"/>
    <n v="0.25"/>
  </r>
  <r>
    <x v="43"/>
    <x v="5"/>
    <n v="18520.699999999899"/>
    <n v="5195744.47999998"/>
    <n v="0.36"/>
    <n v="128"/>
    <n v="47399"/>
    <n v="0.27"/>
  </r>
  <r>
    <x v="43"/>
    <x v="10"/>
    <n v="1400.88"/>
    <n v="514179.52999999898"/>
    <n v="0.27"/>
    <n v="15"/>
    <n v="4156"/>
    <n v="0.36"/>
  </r>
  <r>
    <x v="43"/>
    <x v="3"/>
    <n v="1207.8699999999999"/>
    <n v="683400.24999999895"/>
    <n v="0.18"/>
    <n v="12"/>
    <n v="5736"/>
    <n v="0.21"/>
  </r>
  <r>
    <x v="43"/>
    <x v="9"/>
    <n v="281"/>
    <n v="155690.51"/>
    <n v="0.18"/>
    <n v="3"/>
    <n v="1047"/>
    <n v="0.28999999999999998"/>
  </r>
  <r>
    <x v="43"/>
    <x v="6"/>
    <n v="3126.6"/>
    <n v="1803168.25"/>
    <n v="0.17"/>
    <n v="28"/>
    <n v="14468"/>
    <n v="0.19"/>
  </r>
  <r>
    <x v="43"/>
    <x v="11"/>
    <n v="248"/>
    <n v="226813.40999999901"/>
    <n v="0.11"/>
    <n v="2"/>
    <n v="1472"/>
    <n v="0.14000000000000001"/>
  </r>
  <r>
    <x v="43"/>
    <x v="2"/>
    <n v="1675.96"/>
    <n v="1577629.1"/>
    <n v="0.11"/>
    <n v="17"/>
    <n v="13110"/>
    <n v="0.13"/>
  </r>
  <r>
    <x v="43"/>
    <x v="7"/>
    <n v="465"/>
    <n v="508609.12999999902"/>
    <n v="0.09"/>
    <n v="5"/>
    <n v="3766"/>
    <n v="0.13"/>
  </r>
  <r>
    <x v="43"/>
    <x v="12"/>
    <n v="136"/>
    <n v="263711.51999999897"/>
    <n v="0.05"/>
    <n v="2"/>
    <n v="2237"/>
    <n v="0.09"/>
  </r>
  <r>
    <x v="44"/>
    <x v="13"/>
    <n v="25137.019999999899"/>
    <n v="303593.40000000002"/>
    <n v="8.2799999999999994"/>
    <n v="165"/>
    <n v="2416"/>
    <n v="6.83"/>
  </r>
  <r>
    <x v="44"/>
    <x v="10"/>
    <n v="37375.859999999899"/>
    <n v="514179.52999999898"/>
    <n v="7.27"/>
    <n v="319"/>
    <n v="4156"/>
    <n v="7.68"/>
  </r>
  <r>
    <x v="44"/>
    <x v="8"/>
    <n v="53676.43"/>
    <n v="751552.01999999897"/>
    <n v="7.14"/>
    <n v="495"/>
    <n v="6265"/>
    <n v="7.9"/>
  </r>
  <r>
    <x v="44"/>
    <x v="2"/>
    <n v="111240.12"/>
    <n v="1577629.1"/>
    <n v="7.05"/>
    <n v="1000"/>
    <n v="13110"/>
    <n v="7.63"/>
  </r>
  <r>
    <x v="44"/>
    <x v="5"/>
    <n v="353402.08999999799"/>
    <n v="5195744.47999998"/>
    <n v="6.8"/>
    <n v="3189"/>
    <n v="47399"/>
    <n v="6.73"/>
  </r>
  <r>
    <x v="44"/>
    <x v="4"/>
    <n v="11694.09"/>
    <n v="175925.19"/>
    <n v="6.65"/>
    <n v="90"/>
    <n v="1067"/>
    <n v="8.43"/>
  </r>
  <r>
    <x v="44"/>
    <x v="6"/>
    <n v="119619.29"/>
    <n v="1803168.25"/>
    <n v="6.63"/>
    <n v="997"/>
    <n v="14468"/>
    <n v="6.89"/>
  </r>
  <r>
    <x v="44"/>
    <x v="7"/>
    <n v="33550.0099999999"/>
    <n v="508609.12999999902"/>
    <n v="6.6"/>
    <n v="258"/>
    <n v="3766"/>
    <n v="6.85"/>
  </r>
  <r>
    <x v="44"/>
    <x v="3"/>
    <n v="44292.489999999903"/>
    <n v="683400.24999999895"/>
    <n v="6.48"/>
    <n v="390"/>
    <n v="5736"/>
    <n v="6.8"/>
  </r>
  <r>
    <x v="44"/>
    <x v="11"/>
    <n v="13157.6499999999"/>
    <n v="226813.40999999901"/>
    <n v="5.8"/>
    <n v="97"/>
    <n v="1472"/>
    <n v="6.59"/>
  </r>
  <r>
    <x v="44"/>
    <x v="9"/>
    <n v="8703.16"/>
    <n v="155690.51"/>
    <n v="5.59"/>
    <n v="54"/>
    <n v="1047"/>
    <n v="5.16"/>
  </r>
  <r>
    <x v="44"/>
    <x v="12"/>
    <n v="14659.869999999901"/>
    <n v="263711.51999999897"/>
    <n v="5.56"/>
    <n v="148"/>
    <n v="2237"/>
    <n v="6.62"/>
  </r>
  <r>
    <x v="44"/>
    <x v="0"/>
    <n v="12982.91"/>
    <n v="261821.53999999899"/>
    <n v="4.96"/>
    <n v="106"/>
    <n v="1796"/>
    <n v="5.9"/>
  </r>
  <r>
    <x v="44"/>
    <x v="1"/>
    <n v="13856.23"/>
    <n v="293729.82999999903"/>
    <n v="4.72"/>
    <n v="124"/>
    <n v="2316"/>
    <n v="5.35"/>
  </r>
  <r>
    <x v="45"/>
    <x v="9"/>
    <n v="3818.7"/>
    <n v="155690.51"/>
    <n v="2.4500000000000002"/>
    <n v="6"/>
    <n v="1047"/>
    <n v="0.56999999999999995"/>
  </r>
  <r>
    <x v="45"/>
    <x v="0"/>
    <n v="6410.49999999999"/>
    <n v="261821.53999999899"/>
    <n v="2.4500000000000002"/>
    <n v="11"/>
    <n v="1796"/>
    <n v="0.61"/>
  </r>
  <r>
    <x v="45"/>
    <x v="12"/>
    <n v="5247.38"/>
    <n v="263711.51999999897"/>
    <n v="1.99"/>
    <n v="21"/>
    <n v="2237"/>
    <n v="0.94"/>
  </r>
  <r>
    <x v="45"/>
    <x v="7"/>
    <n v="10033.299999999999"/>
    <n v="508609.12999999902"/>
    <n v="1.97"/>
    <n v="39"/>
    <n v="3766"/>
    <n v="1.04"/>
  </r>
  <r>
    <x v="45"/>
    <x v="2"/>
    <n v="25677.87"/>
    <n v="1577629.1"/>
    <n v="1.63"/>
    <n v="79"/>
    <n v="13110"/>
    <n v="0.6"/>
  </r>
  <r>
    <x v="45"/>
    <x v="10"/>
    <n v="7741.89"/>
    <n v="514179.52999999898"/>
    <n v="1.51"/>
    <n v="30"/>
    <n v="4156"/>
    <n v="0.72"/>
  </r>
  <r>
    <x v="45"/>
    <x v="3"/>
    <n v="10233.49"/>
    <n v="683400.24999999895"/>
    <n v="1.5"/>
    <n v="37"/>
    <n v="5736"/>
    <n v="0.65"/>
  </r>
  <r>
    <x v="45"/>
    <x v="11"/>
    <n v="3261.67"/>
    <n v="226813.40999999901"/>
    <n v="1.44"/>
    <n v="7"/>
    <n v="1472"/>
    <n v="0.48"/>
  </r>
  <r>
    <x v="45"/>
    <x v="5"/>
    <n v="69497.509999999995"/>
    <n v="5195744.47999998"/>
    <n v="1.34"/>
    <n v="267"/>
    <n v="47399"/>
    <n v="0.56000000000000005"/>
  </r>
  <r>
    <x v="45"/>
    <x v="8"/>
    <n v="9106.6"/>
    <n v="751552.01999999897"/>
    <n v="1.21"/>
    <n v="32"/>
    <n v="6265"/>
    <n v="0.51"/>
  </r>
  <r>
    <x v="45"/>
    <x v="6"/>
    <n v="19321.589999999898"/>
    <n v="1803168.25"/>
    <n v="1.07"/>
    <n v="78"/>
    <n v="14468"/>
    <n v="0.54"/>
  </r>
  <r>
    <x v="45"/>
    <x v="4"/>
    <n v="1733.37"/>
    <n v="175925.19"/>
    <n v="0.99"/>
    <n v="10"/>
    <n v="1067"/>
    <n v="0.94"/>
  </r>
  <r>
    <x v="45"/>
    <x v="13"/>
    <n v="2532.6"/>
    <n v="303593.40000000002"/>
    <n v="0.83"/>
    <n v="10"/>
    <n v="2416"/>
    <n v="0.41"/>
  </r>
  <r>
    <x v="45"/>
    <x v="1"/>
    <n v="1472.84"/>
    <n v="293729.82999999903"/>
    <n v="0.5"/>
    <n v="9"/>
    <n v="2316"/>
    <n v="0.39"/>
  </r>
  <r>
    <x v="46"/>
    <x v="10"/>
    <n v="494"/>
    <n v="514179.52999999898"/>
    <n v="0.1"/>
    <n v="2"/>
    <n v="4156"/>
    <n v="0.05"/>
  </r>
  <r>
    <x v="46"/>
    <x v="8"/>
    <n v="428.99"/>
    <n v="751552.01999999897"/>
    <n v="0.06"/>
    <n v="3"/>
    <n v="6265"/>
    <n v="0.05"/>
  </r>
  <r>
    <x v="46"/>
    <x v="2"/>
    <n v="266"/>
    <n v="1577629.1"/>
    <n v="0.02"/>
    <n v="2"/>
    <n v="13110"/>
    <n v="0.02"/>
  </r>
  <r>
    <x v="46"/>
    <x v="5"/>
    <n v="729"/>
    <n v="5195744.47999998"/>
    <n v="0.01"/>
    <n v="6"/>
    <n v="47399"/>
    <n v="0.01"/>
  </r>
  <r>
    <x v="47"/>
    <x v="4"/>
    <n v="129.97999999999999"/>
    <n v="175925.19"/>
    <n v="7.0000000000000007E-2"/>
    <n v="2"/>
    <n v="1067"/>
    <n v="0.19"/>
  </r>
  <r>
    <x v="47"/>
    <x v="5"/>
    <n v="2484.5"/>
    <n v="5195744.47999998"/>
    <n v="0.05"/>
    <n v="37"/>
    <n v="47399"/>
    <n v="0.08"/>
  </r>
  <r>
    <x v="47"/>
    <x v="6"/>
    <n v="490.78"/>
    <n v="1803168.25"/>
    <n v="0.03"/>
    <n v="6"/>
    <n v="14468"/>
    <n v="0.04"/>
  </r>
  <r>
    <x v="47"/>
    <x v="2"/>
    <n v="364.87"/>
    <n v="1577629.1"/>
    <n v="0.02"/>
    <n v="7"/>
    <n v="13110"/>
    <n v="0.05"/>
  </r>
  <r>
    <x v="47"/>
    <x v="3"/>
    <n v="121.99"/>
    <n v="683400.24999999895"/>
    <n v="0.02"/>
    <n v="2"/>
    <n v="5736"/>
    <n v="0.03"/>
  </r>
  <r>
    <x v="47"/>
    <x v="7"/>
    <n v="77"/>
    <n v="508609.12999999902"/>
    <n v="0.02"/>
    <n v="1"/>
    <n v="3766"/>
    <n v="0.03"/>
  </r>
  <r>
    <x v="47"/>
    <x v="8"/>
    <n v="136.88999999999999"/>
    <n v="751552.01999999897"/>
    <n v="0.02"/>
    <n v="2"/>
    <n v="6265"/>
    <n v="0.03"/>
  </r>
  <r>
    <x v="47"/>
    <x v="10"/>
    <n v="24.95"/>
    <n v="514179.52999999898"/>
    <n v="0"/>
    <n v="1"/>
    <n v="4156"/>
    <n v="0.02"/>
  </r>
  <r>
    <x v="48"/>
    <x v="1"/>
    <n v="2062.59"/>
    <n v="293729.82999999903"/>
    <n v="0.7"/>
    <n v="15"/>
    <n v="2316"/>
    <n v="0.65"/>
  </r>
  <r>
    <x v="48"/>
    <x v="12"/>
    <n v="1594.85"/>
    <n v="263711.51999999897"/>
    <n v="0.6"/>
    <n v="11"/>
    <n v="2237"/>
    <n v="0.49"/>
  </r>
  <r>
    <x v="48"/>
    <x v="11"/>
    <n v="1353.05"/>
    <n v="226813.40999999901"/>
    <n v="0.6"/>
    <n v="7"/>
    <n v="1472"/>
    <n v="0.48"/>
  </r>
  <r>
    <x v="48"/>
    <x v="3"/>
    <n v="3003.25"/>
    <n v="683400.24999999895"/>
    <n v="0.44"/>
    <n v="37"/>
    <n v="5736"/>
    <n v="0.65"/>
  </r>
  <r>
    <x v="48"/>
    <x v="13"/>
    <n v="1245.8900000000001"/>
    <n v="303593.40000000002"/>
    <n v="0.41"/>
    <n v="18"/>
    <n v="2416"/>
    <n v="0.75"/>
  </r>
  <r>
    <x v="48"/>
    <x v="10"/>
    <n v="1890.21999999999"/>
    <n v="514179.52999999898"/>
    <n v="0.37"/>
    <n v="23"/>
    <n v="4156"/>
    <n v="0.55000000000000004"/>
  </r>
  <r>
    <x v="48"/>
    <x v="5"/>
    <n v="19178.6499999999"/>
    <n v="5195744.47999998"/>
    <n v="0.37"/>
    <n v="226"/>
    <n v="47399"/>
    <n v="0.48"/>
  </r>
  <r>
    <x v="48"/>
    <x v="8"/>
    <n v="2540.85"/>
    <n v="751552.01999999897"/>
    <n v="0.34"/>
    <n v="28"/>
    <n v="6265"/>
    <n v="0.45"/>
  </r>
  <r>
    <x v="48"/>
    <x v="2"/>
    <n v="4450.57"/>
    <n v="1577629.1"/>
    <n v="0.28000000000000003"/>
    <n v="53"/>
    <n v="13110"/>
    <n v="0.4"/>
  </r>
  <r>
    <x v="48"/>
    <x v="0"/>
    <n v="643.08000000000004"/>
    <n v="261821.53999999899"/>
    <n v="0.25"/>
    <n v="8"/>
    <n v="1796"/>
    <n v="0.45"/>
  </r>
  <r>
    <x v="48"/>
    <x v="6"/>
    <n v="4216.26"/>
    <n v="1803168.25"/>
    <n v="0.23"/>
    <n v="56"/>
    <n v="14468"/>
    <n v="0.39"/>
  </r>
  <r>
    <x v="48"/>
    <x v="7"/>
    <n v="908.8"/>
    <n v="508609.12999999902"/>
    <n v="0.18"/>
    <n v="14"/>
    <n v="3766"/>
    <n v="0.37"/>
  </r>
  <r>
    <x v="48"/>
    <x v="4"/>
    <n v="171.69"/>
    <n v="175925.19"/>
    <n v="0.1"/>
    <n v="5"/>
    <n v="1067"/>
    <n v="0.47"/>
  </r>
  <r>
    <x v="48"/>
    <x v="9"/>
    <n v="44.5"/>
    <n v="155690.51"/>
    <n v="0.03"/>
    <n v="2"/>
    <n v="1047"/>
    <n v="0.19"/>
  </r>
  <r>
    <x v="49"/>
    <x v="12"/>
    <n v="1138.5999999999999"/>
    <n v="263711.51999999897"/>
    <n v="0.43"/>
    <n v="14"/>
    <n v="2237"/>
    <n v="0.63"/>
  </r>
  <r>
    <x v="49"/>
    <x v="3"/>
    <n v="1764.45"/>
    <n v="683400.24999999895"/>
    <n v="0.26"/>
    <n v="15"/>
    <n v="5736"/>
    <n v="0.26"/>
  </r>
  <r>
    <x v="49"/>
    <x v="13"/>
    <n v="672.8"/>
    <n v="303593.40000000002"/>
    <n v="0.22"/>
    <n v="5"/>
    <n v="2416"/>
    <n v="0.21"/>
  </r>
  <r>
    <x v="49"/>
    <x v="9"/>
    <n v="301.289999999999"/>
    <n v="155690.51"/>
    <n v="0.19"/>
    <n v="5"/>
    <n v="1047"/>
    <n v="0.48"/>
  </r>
  <r>
    <x v="49"/>
    <x v="10"/>
    <n v="975.23"/>
    <n v="514179.52999999898"/>
    <n v="0.19"/>
    <n v="10"/>
    <n v="4156"/>
    <n v="0.24"/>
  </r>
  <r>
    <x v="49"/>
    <x v="7"/>
    <n v="720.52"/>
    <n v="508609.12999999902"/>
    <n v="0.14000000000000001"/>
    <n v="10"/>
    <n v="3766"/>
    <n v="0.27"/>
  </r>
  <r>
    <x v="49"/>
    <x v="5"/>
    <n v="7464.79"/>
    <n v="5195744.47999998"/>
    <n v="0.14000000000000001"/>
    <n v="113"/>
    <n v="47399"/>
    <n v="0.24"/>
  </r>
  <r>
    <x v="49"/>
    <x v="8"/>
    <n v="913.56"/>
    <n v="751552.01999999897"/>
    <n v="0.12"/>
    <n v="12"/>
    <n v="6265"/>
    <n v="0.19"/>
  </r>
  <r>
    <x v="49"/>
    <x v="0"/>
    <n v="313.39"/>
    <n v="261821.53999999899"/>
    <n v="0.12"/>
    <n v="4"/>
    <n v="1796"/>
    <n v="0.22"/>
  </r>
  <r>
    <x v="49"/>
    <x v="2"/>
    <n v="1926"/>
    <n v="1577629.1"/>
    <n v="0.12"/>
    <n v="30"/>
    <n v="13110"/>
    <n v="0.23"/>
  </r>
  <r>
    <x v="49"/>
    <x v="11"/>
    <n v="256"/>
    <n v="226813.40999999901"/>
    <n v="0.11"/>
    <n v="3"/>
    <n v="1472"/>
    <n v="0.2"/>
  </r>
  <r>
    <x v="49"/>
    <x v="6"/>
    <n v="1581.6799999999901"/>
    <n v="1803168.25"/>
    <n v="0.09"/>
    <n v="28"/>
    <n v="14468"/>
    <n v="0.19"/>
  </r>
  <r>
    <x v="49"/>
    <x v="4"/>
    <n v="148.88999999999999"/>
    <n v="175925.19"/>
    <n v="0.08"/>
    <n v="2"/>
    <n v="1067"/>
    <n v="0.19"/>
  </r>
  <r>
    <x v="49"/>
    <x v="1"/>
    <n v="196.65"/>
    <n v="293729.82999999903"/>
    <n v="7.0000000000000007E-2"/>
    <n v="3"/>
    <n v="2316"/>
    <n v="0.13"/>
  </r>
  <r>
    <x v="50"/>
    <x v="11"/>
    <n v="3416.5"/>
    <n v="226813.40999999901"/>
    <n v="1.51"/>
    <n v="24"/>
    <n v="1472"/>
    <n v="1.63"/>
  </r>
  <r>
    <x v="50"/>
    <x v="2"/>
    <n v="22686.6499999999"/>
    <n v="1577629.1"/>
    <n v="1.44"/>
    <n v="183"/>
    <n v="13110"/>
    <n v="1.4"/>
  </r>
  <r>
    <x v="50"/>
    <x v="10"/>
    <n v="5926.77"/>
    <n v="514179.52999999898"/>
    <n v="1.1499999999999999"/>
    <n v="35"/>
    <n v="4156"/>
    <n v="0.84"/>
  </r>
  <r>
    <x v="50"/>
    <x v="5"/>
    <n v="56894.979999999901"/>
    <n v="5195744.47999998"/>
    <n v="1.1000000000000001"/>
    <n v="454"/>
    <n v="47399"/>
    <n v="0.96"/>
  </r>
  <r>
    <x v="50"/>
    <x v="12"/>
    <n v="2553.48"/>
    <n v="263711.51999999897"/>
    <n v="0.97"/>
    <n v="16"/>
    <n v="2237"/>
    <n v="0.72"/>
  </r>
  <r>
    <x v="50"/>
    <x v="3"/>
    <n v="6418.05"/>
    <n v="683400.24999999895"/>
    <n v="0.94"/>
    <n v="51"/>
    <n v="5736"/>
    <n v="0.89"/>
  </r>
  <r>
    <x v="50"/>
    <x v="8"/>
    <n v="6959.95"/>
    <n v="751552.01999999897"/>
    <n v="0.93"/>
    <n v="56"/>
    <n v="6265"/>
    <n v="0.89"/>
  </r>
  <r>
    <x v="50"/>
    <x v="13"/>
    <n v="2776.85"/>
    <n v="303593.40000000002"/>
    <n v="0.91"/>
    <n v="24"/>
    <n v="2416"/>
    <n v="0.99"/>
  </r>
  <r>
    <x v="50"/>
    <x v="4"/>
    <n v="1515.63"/>
    <n v="175925.19"/>
    <n v="0.86"/>
    <n v="7"/>
    <n v="1067"/>
    <n v="0.66"/>
  </r>
  <r>
    <x v="50"/>
    <x v="6"/>
    <n v="14727.6899999999"/>
    <n v="1803168.25"/>
    <n v="0.82"/>
    <n v="120"/>
    <n v="14468"/>
    <n v="0.83"/>
  </r>
  <r>
    <x v="50"/>
    <x v="9"/>
    <n v="1139.5899999999999"/>
    <n v="155690.51"/>
    <n v="0.73"/>
    <n v="8"/>
    <n v="1047"/>
    <n v="0.76"/>
  </r>
  <r>
    <x v="50"/>
    <x v="7"/>
    <n v="3435.83"/>
    <n v="508609.12999999902"/>
    <n v="0.68"/>
    <n v="32"/>
    <n v="3766"/>
    <n v="0.85"/>
  </r>
  <r>
    <x v="50"/>
    <x v="0"/>
    <n v="1635.26"/>
    <n v="261821.53999999899"/>
    <n v="0.62"/>
    <n v="13"/>
    <n v="1796"/>
    <n v="0.72"/>
  </r>
  <r>
    <x v="50"/>
    <x v="1"/>
    <n v="1632.77"/>
    <n v="293729.82999999903"/>
    <n v="0.56000000000000005"/>
    <n v="12"/>
    <n v="2316"/>
    <n v="0.52"/>
  </r>
  <r>
    <x v="51"/>
    <x v="9"/>
    <n v="662.24"/>
    <n v="155690.51"/>
    <n v="0.43"/>
    <n v="5"/>
    <n v="1047"/>
    <n v="0.48"/>
  </r>
  <r>
    <x v="51"/>
    <x v="7"/>
    <n v="2135.69"/>
    <n v="508609.12999999902"/>
    <n v="0.42"/>
    <n v="4"/>
    <n v="3766"/>
    <n v="0.11"/>
  </r>
  <r>
    <x v="51"/>
    <x v="12"/>
    <n v="828.78"/>
    <n v="263711.51999999897"/>
    <n v="0.31"/>
    <n v="7"/>
    <n v="2237"/>
    <n v="0.31"/>
  </r>
  <r>
    <x v="51"/>
    <x v="4"/>
    <n v="485.159999999999"/>
    <n v="175925.19"/>
    <n v="0.28000000000000003"/>
    <n v="5"/>
    <n v="1067"/>
    <n v="0.47"/>
  </r>
  <r>
    <x v="51"/>
    <x v="10"/>
    <n v="1448.69"/>
    <n v="514179.52999999898"/>
    <n v="0.28000000000000003"/>
    <n v="14"/>
    <n v="4156"/>
    <n v="0.34"/>
  </r>
  <r>
    <x v="51"/>
    <x v="8"/>
    <n v="1945.54"/>
    <n v="751552.01999999897"/>
    <n v="0.26"/>
    <n v="20"/>
    <n v="6265"/>
    <n v="0.32"/>
  </r>
  <r>
    <x v="51"/>
    <x v="11"/>
    <n v="558.35"/>
    <n v="226813.40999999901"/>
    <n v="0.25"/>
    <n v="4"/>
    <n v="1472"/>
    <n v="0.27"/>
  </r>
  <r>
    <x v="51"/>
    <x v="5"/>
    <n v="9824.6299999999992"/>
    <n v="5195744.47999998"/>
    <n v="0.19"/>
    <n v="117"/>
    <n v="47399"/>
    <n v="0.25"/>
  </r>
  <r>
    <x v="51"/>
    <x v="2"/>
    <n v="2825.05"/>
    <n v="1577629.1"/>
    <n v="0.18"/>
    <n v="33"/>
    <n v="13110"/>
    <n v="0.25"/>
  </r>
  <r>
    <x v="51"/>
    <x v="6"/>
    <n v="2967.74"/>
    <n v="1803168.25"/>
    <n v="0.16"/>
    <n v="36"/>
    <n v="14468"/>
    <n v="0.25"/>
  </r>
  <r>
    <x v="51"/>
    <x v="3"/>
    <n v="928.94"/>
    <n v="683400.24999999895"/>
    <n v="0.14000000000000001"/>
    <n v="15"/>
    <n v="5736"/>
    <n v="0.26"/>
  </r>
  <r>
    <x v="51"/>
    <x v="1"/>
    <n v="354.75"/>
    <n v="293729.82999999903"/>
    <n v="0.12"/>
    <n v="12"/>
    <n v="2316"/>
    <n v="0.52"/>
  </r>
  <r>
    <x v="51"/>
    <x v="13"/>
    <n v="326.70999999999998"/>
    <n v="303593.40000000002"/>
    <n v="0.11"/>
    <n v="4"/>
    <n v="2416"/>
    <n v="0.17"/>
  </r>
  <r>
    <x v="51"/>
    <x v="0"/>
    <n v="274.95999999999998"/>
    <n v="261821.53999999899"/>
    <n v="0.11"/>
    <n v="4"/>
    <n v="1796"/>
    <n v="0.22"/>
  </r>
  <r>
    <x v="52"/>
    <x v="13"/>
    <n v="249"/>
    <n v="303593.40000000002"/>
    <n v="0.08"/>
    <n v="1"/>
    <n v="2416"/>
    <n v="0.04"/>
  </r>
  <r>
    <x v="52"/>
    <x v="6"/>
    <n v="1019.99"/>
    <n v="1803168.25"/>
    <n v="0.06"/>
    <n v="8"/>
    <n v="14468"/>
    <n v="0.06"/>
  </r>
  <r>
    <x v="52"/>
    <x v="5"/>
    <n v="2083.9"/>
    <n v="5195744.47999998"/>
    <n v="0.04"/>
    <n v="22"/>
    <n v="47399"/>
    <n v="0.05"/>
  </r>
  <r>
    <x v="52"/>
    <x v="2"/>
    <n v="561.49"/>
    <n v="1577629.1"/>
    <n v="0.04"/>
    <n v="3"/>
    <n v="13110"/>
    <n v="0.02"/>
  </r>
  <r>
    <x v="52"/>
    <x v="1"/>
    <n v="85"/>
    <n v="293729.82999999903"/>
    <n v="0.03"/>
    <n v="1"/>
    <n v="2316"/>
    <n v="0.04"/>
  </r>
  <r>
    <x v="52"/>
    <x v="10"/>
    <n v="119.7"/>
    <n v="514179.52999999898"/>
    <n v="0.02"/>
    <n v="2"/>
    <n v="4156"/>
    <n v="0.05"/>
  </r>
  <r>
    <x v="53"/>
    <x v="3"/>
    <n v="3439.09"/>
    <n v="683400.24999999895"/>
    <n v="0.5"/>
    <n v="14"/>
    <n v="5736"/>
    <n v="0.24"/>
  </r>
  <r>
    <x v="53"/>
    <x v="5"/>
    <n v="23965.359999999899"/>
    <n v="5195744.47999998"/>
    <n v="0.46"/>
    <n v="142"/>
    <n v="47399"/>
    <n v="0.3"/>
  </r>
  <r>
    <x v="53"/>
    <x v="13"/>
    <n v="1323.8"/>
    <n v="303593.40000000002"/>
    <n v="0.44"/>
    <n v="5"/>
    <n v="2416"/>
    <n v="0.21"/>
  </r>
  <r>
    <x v="53"/>
    <x v="9"/>
    <n v="660"/>
    <n v="155690.51"/>
    <n v="0.42"/>
    <n v="3"/>
    <n v="1047"/>
    <n v="0.28999999999999998"/>
  </r>
  <r>
    <x v="53"/>
    <x v="6"/>
    <n v="7427.34"/>
    <n v="1803168.25"/>
    <n v="0.41"/>
    <n v="47"/>
    <n v="14468"/>
    <n v="0.32"/>
  </r>
  <r>
    <x v="53"/>
    <x v="0"/>
    <n v="1051.8800000000001"/>
    <n v="261821.53999999899"/>
    <n v="0.4"/>
    <n v="4"/>
    <n v="1796"/>
    <n v="0.22"/>
  </r>
  <r>
    <x v="53"/>
    <x v="8"/>
    <n v="1969.6"/>
    <n v="751552.01999999897"/>
    <n v="0.26"/>
    <n v="13"/>
    <n v="6265"/>
    <n v="0.21"/>
  </r>
  <r>
    <x v="53"/>
    <x v="2"/>
    <n v="3886.46"/>
    <n v="1577629.1"/>
    <n v="0.25"/>
    <n v="29"/>
    <n v="13110"/>
    <n v="0.22"/>
  </r>
  <r>
    <x v="53"/>
    <x v="10"/>
    <n v="714.48"/>
    <n v="514179.52999999898"/>
    <n v="0.14000000000000001"/>
    <n v="7"/>
    <n v="4156"/>
    <n v="0.17"/>
  </r>
  <r>
    <x v="53"/>
    <x v="1"/>
    <n v="305.76"/>
    <n v="293729.82999999903"/>
    <n v="0.1"/>
    <n v="4"/>
    <n v="2316"/>
    <n v="0.17"/>
  </r>
  <r>
    <x v="53"/>
    <x v="11"/>
    <n v="140"/>
    <n v="226813.40999999901"/>
    <n v="0.06"/>
    <n v="1"/>
    <n v="1472"/>
    <n v="7.0000000000000007E-2"/>
  </r>
  <r>
    <x v="53"/>
    <x v="7"/>
    <n v="201.9"/>
    <n v="508609.12999999902"/>
    <n v="0.04"/>
    <n v="3"/>
    <n v="3766"/>
    <n v="0.08"/>
  </r>
  <r>
    <x v="53"/>
    <x v="4"/>
    <n v="48.9"/>
    <n v="175925.19"/>
    <n v="0.03"/>
    <n v="1"/>
    <n v="1067"/>
    <n v="0.09"/>
  </r>
  <r>
    <x v="53"/>
    <x v="12"/>
    <n v="48"/>
    <n v="263711.51999999897"/>
    <n v="0.02"/>
    <n v="1"/>
    <n v="2237"/>
    <n v="0.04"/>
  </r>
  <r>
    <x v="54"/>
    <x v="3"/>
    <n v="50795.269999999902"/>
    <n v="683400.24999999895"/>
    <n v="7.43"/>
    <n v="531"/>
    <n v="5736"/>
    <n v="9.26"/>
  </r>
  <r>
    <x v="54"/>
    <x v="8"/>
    <n v="54767.679999999898"/>
    <n v="751552.01999999897"/>
    <n v="7.29"/>
    <n v="560"/>
    <n v="6265"/>
    <n v="8.94"/>
  </r>
  <r>
    <x v="54"/>
    <x v="10"/>
    <n v="32304.339999999898"/>
    <n v="514179.52999999898"/>
    <n v="6.28"/>
    <n v="350"/>
    <n v="4156"/>
    <n v="8.42"/>
  </r>
  <r>
    <x v="54"/>
    <x v="5"/>
    <n v="287009.729999998"/>
    <n v="5195744.47999998"/>
    <n v="5.52"/>
    <n v="3533"/>
    <n v="47399"/>
    <n v="7.45"/>
  </r>
  <r>
    <x v="54"/>
    <x v="6"/>
    <n v="98539.570000000298"/>
    <n v="1803168.25"/>
    <n v="5.46"/>
    <n v="1087"/>
    <n v="14468"/>
    <n v="7.51"/>
  </r>
  <r>
    <x v="54"/>
    <x v="4"/>
    <n v="9121.44"/>
    <n v="175925.19"/>
    <n v="5.18"/>
    <n v="71"/>
    <n v="1067"/>
    <n v="6.65"/>
  </r>
  <r>
    <x v="54"/>
    <x v="2"/>
    <n v="78920.850000000093"/>
    <n v="1577629.1"/>
    <n v="5"/>
    <n v="950"/>
    <n v="13110"/>
    <n v="7.25"/>
  </r>
  <r>
    <x v="54"/>
    <x v="12"/>
    <n v="12869.32"/>
    <n v="263711.51999999897"/>
    <n v="4.88"/>
    <n v="145"/>
    <n v="2237"/>
    <n v="6.48"/>
  </r>
  <r>
    <x v="54"/>
    <x v="7"/>
    <n v="23358.629999999899"/>
    <n v="508609.12999999902"/>
    <n v="4.59"/>
    <n v="252"/>
    <n v="3766"/>
    <n v="6.69"/>
  </r>
  <r>
    <x v="54"/>
    <x v="1"/>
    <n v="12599.89"/>
    <n v="293729.82999999903"/>
    <n v="4.29"/>
    <n v="126"/>
    <n v="2316"/>
    <n v="5.44"/>
  </r>
  <r>
    <x v="54"/>
    <x v="11"/>
    <n v="9216.0400000000009"/>
    <n v="226813.40999999901"/>
    <n v="4.0599999999999996"/>
    <n v="87"/>
    <n v="1472"/>
    <n v="5.91"/>
  </r>
  <r>
    <x v="54"/>
    <x v="13"/>
    <n v="12281"/>
    <n v="303593.40000000002"/>
    <n v="4.05"/>
    <n v="157"/>
    <n v="2416"/>
    <n v="6.5"/>
  </r>
  <r>
    <x v="54"/>
    <x v="9"/>
    <n v="6196.09"/>
    <n v="155690.51"/>
    <n v="3.98"/>
    <n v="68"/>
    <n v="1047"/>
    <n v="6.49"/>
  </r>
  <r>
    <x v="54"/>
    <x v="0"/>
    <n v="9605.18"/>
    <n v="261821.53999999899"/>
    <n v="3.67"/>
    <n v="97"/>
    <n v="1796"/>
    <n v="5.4"/>
  </r>
  <r>
    <x v="55"/>
    <x v="7"/>
    <n v="14342.8199999999"/>
    <n v="508609.12999999902"/>
    <n v="2.82"/>
    <n v="93"/>
    <n v="3766"/>
    <n v="2.4700000000000002"/>
  </r>
  <r>
    <x v="55"/>
    <x v="6"/>
    <n v="47052.129999999903"/>
    <n v="1803168.25"/>
    <n v="2.61"/>
    <n v="307"/>
    <n v="14468"/>
    <n v="2.12"/>
  </r>
  <r>
    <x v="55"/>
    <x v="4"/>
    <n v="4115.24"/>
    <n v="175925.19"/>
    <n v="2.34"/>
    <n v="27"/>
    <n v="1067"/>
    <n v="2.5299999999999998"/>
  </r>
  <r>
    <x v="55"/>
    <x v="3"/>
    <n v="15914.109999999901"/>
    <n v="683400.24999999895"/>
    <n v="2.33"/>
    <n v="93"/>
    <n v="5736"/>
    <n v="1.62"/>
  </r>
  <r>
    <x v="55"/>
    <x v="9"/>
    <n v="3370.87"/>
    <n v="155690.51"/>
    <n v="2.17"/>
    <n v="19"/>
    <n v="1047"/>
    <n v="1.81"/>
  </r>
  <r>
    <x v="55"/>
    <x v="11"/>
    <n v="4716.76"/>
    <n v="226813.40999999901"/>
    <n v="2.08"/>
    <n v="28"/>
    <n v="1472"/>
    <n v="1.9"/>
  </r>
  <r>
    <x v="55"/>
    <x v="5"/>
    <n v="107007.91"/>
    <n v="5195744.47999998"/>
    <n v="2.06"/>
    <n v="660"/>
    <n v="47399"/>
    <n v="1.39"/>
  </r>
  <r>
    <x v="55"/>
    <x v="10"/>
    <n v="10439.129999999999"/>
    <n v="514179.52999999898"/>
    <n v="2.0299999999999998"/>
    <n v="62"/>
    <n v="4156"/>
    <n v="1.49"/>
  </r>
  <r>
    <x v="55"/>
    <x v="12"/>
    <n v="5172.8"/>
    <n v="263711.51999999897"/>
    <n v="1.96"/>
    <n v="30"/>
    <n v="2237"/>
    <n v="1.34"/>
  </r>
  <r>
    <x v="55"/>
    <x v="2"/>
    <n v="27573.269999999899"/>
    <n v="1577629.1"/>
    <n v="1.75"/>
    <n v="164"/>
    <n v="13110"/>
    <n v="1.25"/>
  </r>
  <r>
    <x v="55"/>
    <x v="8"/>
    <n v="10722.5699999999"/>
    <n v="751552.01999999897"/>
    <n v="1.43"/>
    <n v="69"/>
    <n v="6265"/>
    <n v="1.1000000000000001"/>
  </r>
  <r>
    <x v="55"/>
    <x v="0"/>
    <n v="3519.57"/>
    <n v="261821.53999999899"/>
    <n v="1.34"/>
    <n v="20"/>
    <n v="1796"/>
    <n v="1.1100000000000001"/>
  </r>
  <r>
    <x v="55"/>
    <x v="1"/>
    <n v="3161.93"/>
    <n v="293729.82999999903"/>
    <n v="1.08"/>
    <n v="22"/>
    <n v="2316"/>
    <n v="0.95"/>
  </r>
  <r>
    <x v="55"/>
    <x v="13"/>
    <n v="2997.74"/>
    <n v="303593.40000000002"/>
    <n v="0.99"/>
    <n v="19"/>
    <n v="2416"/>
    <n v="0.79"/>
  </r>
  <r>
    <x v="56"/>
    <x v="9"/>
    <n v="469.8"/>
    <n v="155690.51"/>
    <n v="0.3"/>
    <n v="2"/>
    <n v="1047"/>
    <n v="0.19"/>
  </r>
  <r>
    <x v="56"/>
    <x v="6"/>
    <n v="3577.96"/>
    <n v="1803168.25"/>
    <n v="0.2"/>
    <n v="20"/>
    <n v="14468"/>
    <n v="0.14000000000000001"/>
  </r>
  <r>
    <x v="56"/>
    <x v="5"/>
    <n v="9946.06"/>
    <n v="5195744.47999998"/>
    <n v="0.19"/>
    <n v="52"/>
    <n v="47399"/>
    <n v="0.11"/>
  </r>
  <r>
    <x v="56"/>
    <x v="13"/>
    <n v="510"/>
    <n v="303593.40000000002"/>
    <n v="0.17"/>
    <n v="1"/>
    <n v="2416"/>
    <n v="0.04"/>
  </r>
  <r>
    <x v="56"/>
    <x v="10"/>
    <n v="803"/>
    <n v="514179.52999999898"/>
    <n v="0.16"/>
    <n v="3"/>
    <n v="4156"/>
    <n v="7.0000000000000007E-2"/>
  </r>
  <r>
    <x v="56"/>
    <x v="2"/>
    <n v="2237.8000000000002"/>
    <n v="1577629.1"/>
    <n v="0.14000000000000001"/>
    <n v="7"/>
    <n v="13110"/>
    <n v="0.05"/>
  </r>
  <r>
    <x v="56"/>
    <x v="7"/>
    <n v="667"/>
    <n v="508609.12999999902"/>
    <n v="0.13"/>
    <n v="4"/>
    <n v="3766"/>
    <n v="0.11"/>
  </r>
  <r>
    <x v="56"/>
    <x v="8"/>
    <n v="685"/>
    <n v="751552.01999999897"/>
    <n v="0.09"/>
    <n v="3"/>
    <n v="6265"/>
    <n v="0.05"/>
  </r>
  <r>
    <x v="56"/>
    <x v="0"/>
    <n v="129"/>
    <n v="261821.53999999899"/>
    <n v="0.05"/>
    <n v="1"/>
    <n v="1796"/>
    <n v="0.06"/>
  </r>
  <r>
    <x v="56"/>
    <x v="1"/>
    <n v="159"/>
    <n v="293729.82999999903"/>
    <n v="0.05"/>
    <n v="1"/>
    <n v="2316"/>
    <n v="0.04"/>
  </r>
  <r>
    <x v="56"/>
    <x v="12"/>
    <n v="99.9"/>
    <n v="263711.51999999897"/>
    <n v="0.04"/>
    <n v="1"/>
    <n v="2237"/>
    <n v="0.04"/>
  </r>
  <r>
    <x v="56"/>
    <x v="3"/>
    <n v="293.27999999999997"/>
    <n v="683400.24999999895"/>
    <n v="0.04"/>
    <n v="9"/>
    <n v="5736"/>
    <n v="0.16"/>
  </r>
  <r>
    <x v="57"/>
    <x v="6"/>
    <n v="17018.3499999999"/>
    <n v="1803168.25"/>
    <n v="0.94"/>
    <n v="117"/>
    <n v="14468"/>
    <n v="0.81"/>
  </r>
  <r>
    <x v="57"/>
    <x v="12"/>
    <n v="1533.01999999999"/>
    <n v="263711.51999999897"/>
    <n v="0.57999999999999996"/>
    <n v="17"/>
    <n v="2237"/>
    <n v="0.76"/>
  </r>
  <r>
    <x v="57"/>
    <x v="7"/>
    <n v="2494.4299999999998"/>
    <n v="508609.12999999902"/>
    <n v="0.49"/>
    <n v="20"/>
    <n v="3766"/>
    <n v="0.53"/>
  </r>
  <r>
    <x v="57"/>
    <x v="8"/>
    <n v="3582.95"/>
    <n v="751552.01999999897"/>
    <n v="0.48"/>
    <n v="24"/>
    <n v="6265"/>
    <n v="0.38"/>
  </r>
  <r>
    <x v="57"/>
    <x v="1"/>
    <n v="1381.57"/>
    <n v="293729.82999999903"/>
    <n v="0.47"/>
    <n v="10"/>
    <n v="2316"/>
    <n v="0.43"/>
  </r>
  <r>
    <x v="57"/>
    <x v="2"/>
    <n v="7247.48"/>
    <n v="1577629.1"/>
    <n v="0.46"/>
    <n v="47"/>
    <n v="13110"/>
    <n v="0.36"/>
  </r>
  <r>
    <x v="57"/>
    <x v="13"/>
    <n v="1405.6599999999901"/>
    <n v="303593.40000000002"/>
    <n v="0.46"/>
    <n v="7"/>
    <n v="2416"/>
    <n v="0.28999999999999998"/>
  </r>
  <r>
    <x v="57"/>
    <x v="5"/>
    <n v="23148.359999999899"/>
    <n v="5195744.47999998"/>
    <n v="0.45"/>
    <n v="200"/>
    <n v="47399"/>
    <n v="0.42"/>
  </r>
  <r>
    <x v="57"/>
    <x v="10"/>
    <n v="2131.37"/>
    <n v="514179.52999999898"/>
    <n v="0.41"/>
    <n v="12"/>
    <n v="4156"/>
    <n v="0.28999999999999998"/>
  </r>
  <r>
    <x v="57"/>
    <x v="9"/>
    <n v="519.88"/>
    <n v="155690.51"/>
    <n v="0.33"/>
    <n v="3"/>
    <n v="1047"/>
    <n v="0.28999999999999998"/>
  </r>
  <r>
    <x v="57"/>
    <x v="3"/>
    <n v="2052.5100000000002"/>
    <n v="683400.24999999895"/>
    <n v="0.3"/>
    <n v="17"/>
    <n v="5736"/>
    <n v="0.3"/>
  </r>
  <r>
    <x v="57"/>
    <x v="11"/>
    <n v="602.98"/>
    <n v="226813.40999999901"/>
    <n v="0.27"/>
    <n v="2"/>
    <n v="1472"/>
    <n v="0.14000000000000001"/>
  </r>
  <r>
    <x v="57"/>
    <x v="0"/>
    <n v="578.79"/>
    <n v="261821.53999999899"/>
    <n v="0.22"/>
    <n v="4"/>
    <n v="1796"/>
    <n v="0.22"/>
  </r>
  <r>
    <x v="57"/>
    <x v="4"/>
    <n v="179.99"/>
    <n v="175925.19"/>
    <n v="0.1"/>
    <n v="1"/>
    <n v="1067"/>
    <n v="0.09"/>
  </r>
  <r>
    <x v="58"/>
    <x v="1"/>
    <n v="1165.97"/>
    <n v="293729.82999999903"/>
    <n v="0.4"/>
    <n v="1"/>
    <n v="2316"/>
    <n v="0.04"/>
  </r>
  <r>
    <x v="58"/>
    <x v="3"/>
    <n v="558.6"/>
    <n v="683400.24999999895"/>
    <n v="0.08"/>
    <n v="7"/>
    <n v="5736"/>
    <n v="0.12"/>
  </r>
  <r>
    <x v="58"/>
    <x v="11"/>
    <n v="149.9"/>
    <n v="226813.40999999901"/>
    <n v="7.0000000000000007E-2"/>
    <n v="1"/>
    <n v="1472"/>
    <n v="7.0000000000000007E-2"/>
  </r>
  <r>
    <x v="58"/>
    <x v="6"/>
    <n v="1017.85"/>
    <n v="1803168.25"/>
    <n v="0.06"/>
    <n v="8"/>
    <n v="14468"/>
    <n v="0.06"/>
  </r>
  <r>
    <x v="58"/>
    <x v="2"/>
    <n v="683.33"/>
    <n v="1577629.1"/>
    <n v="0.04"/>
    <n v="6"/>
    <n v="13110"/>
    <n v="0.05"/>
  </r>
  <r>
    <x v="58"/>
    <x v="5"/>
    <n v="2093.25"/>
    <n v="5195744.47999998"/>
    <n v="0.04"/>
    <n v="12"/>
    <n v="47399"/>
    <n v="0.03"/>
  </r>
  <r>
    <x v="58"/>
    <x v="8"/>
    <n v="299"/>
    <n v="751552.01999999897"/>
    <n v="0.04"/>
    <n v="1"/>
    <n v="6265"/>
    <n v="0.02"/>
  </r>
  <r>
    <x v="58"/>
    <x v="13"/>
    <n v="50.35"/>
    <n v="303593.40000000002"/>
    <n v="0.02"/>
    <n v="1"/>
    <n v="2416"/>
    <n v="0.04"/>
  </r>
  <r>
    <x v="59"/>
    <x v="12"/>
    <n v="5573.25"/>
    <n v="263711.51999999897"/>
    <n v="2.11"/>
    <n v="52"/>
    <n v="2237"/>
    <n v="2.3199999999999998"/>
  </r>
  <r>
    <x v="59"/>
    <x v="9"/>
    <n v="3113.16"/>
    <n v="155690.51"/>
    <n v="2"/>
    <n v="28"/>
    <n v="1047"/>
    <n v="2.67"/>
  </r>
  <r>
    <x v="59"/>
    <x v="6"/>
    <n v="33041.619999999901"/>
    <n v="1803168.25"/>
    <n v="1.83"/>
    <n v="330"/>
    <n v="14468"/>
    <n v="2.2799999999999998"/>
  </r>
  <r>
    <x v="59"/>
    <x v="5"/>
    <n v="90145.900000000198"/>
    <n v="5195744.47999998"/>
    <n v="1.73"/>
    <n v="1057"/>
    <n v="47399"/>
    <n v="2.23"/>
  </r>
  <r>
    <x v="59"/>
    <x v="10"/>
    <n v="8877.01"/>
    <n v="514179.52999999898"/>
    <n v="1.73"/>
    <n v="93"/>
    <n v="4156"/>
    <n v="2.2400000000000002"/>
  </r>
  <r>
    <x v="59"/>
    <x v="0"/>
    <n v="4526.59"/>
    <n v="261821.53999999899"/>
    <n v="1.73"/>
    <n v="48"/>
    <n v="1796"/>
    <n v="2.67"/>
  </r>
  <r>
    <x v="59"/>
    <x v="8"/>
    <n v="12769.01"/>
    <n v="751552.01999999897"/>
    <n v="1.7"/>
    <n v="148"/>
    <n v="6265"/>
    <n v="2.36"/>
  </r>
  <r>
    <x v="59"/>
    <x v="3"/>
    <n v="11231.99"/>
    <n v="683400.24999999895"/>
    <n v="1.64"/>
    <n v="128"/>
    <n v="5736"/>
    <n v="2.23"/>
  </r>
  <r>
    <x v="59"/>
    <x v="2"/>
    <n v="25142.389999999901"/>
    <n v="1577629.1"/>
    <n v="1.59"/>
    <n v="274"/>
    <n v="13110"/>
    <n v="2.09"/>
  </r>
  <r>
    <x v="59"/>
    <x v="13"/>
    <n v="4764.09"/>
    <n v="303593.40000000002"/>
    <n v="1.57"/>
    <n v="47"/>
    <n v="2416"/>
    <n v="1.95"/>
  </r>
  <r>
    <x v="59"/>
    <x v="1"/>
    <n v="4579.82"/>
    <n v="293729.82999999903"/>
    <n v="1.56"/>
    <n v="50"/>
    <n v="2316"/>
    <n v="2.16"/>
  </r>
  <r>
    <x v="59"/>
    <x v="7"/>
    <n v="7355.95"/>
    <n v="508609.12999999902"/>
    <n v="1.45"/>
    <n v="77"/>
    <n v="3766"/>
    <n v="2.04"/>
  </r>
  <r>
    <x v="59"/>
    <x v="4"/>
    <n v="2416.91"/>
    <n v="175925.19"/>
    <n v="1.37"/>
    <n v="21"/>
    <n v="1067"/>
    <n v="1.97"/>
  </r>
  <r>
    <x v="59"/>
    <x v="11"/>
    <n v="2915.43"/>
    <n v="226813.40999999901"/>
    <n v="1.29"/>
    <n v="36"/>
    <n v="1472"/>
    <n v="2.4500000000000002"/>
  </r>
  <r>
    <x v="60"/>
    <x v="0"/>
    <n v="129.99"/>
    <n v="261821.53999999899"/>
    <n v="0.05"/>
    <n v="1"/>
    <n v="1796"/>
    <n v="0.06"/>
  </r>
  <r>
    <x v="60"/>
    <x v="8"/>
    <n v="219"/>
    <n v="751552.01999999897"/>
    <n v="0.03"/>
    <n v="1"/>
    <n v="6265"/>
    <n v="0.02"/>
  </r>
  <r>
    <x v="60"/>
    <x v="5"/>
    <n v="806.99"/>
    <n v="5195744.47999998"/>
    <n v="0.02"/>
    <n v="4"/>
    <n v="47399"/>
    <n v="0.01"/>
  </r>
  <r>
    <x v="60"/>
    <x v="2"/>
    <n v="129.99"/>
    <n v="1577629.1"/>
    <n v="0.01"/>
    <n v="1"/>
    <n v="13110"/>
    <n v="0.01"/>
  </r>
  <r>
    <x v="60"/>
    <x v="6"/>
    <n v="259.98"/>
    <n v="1803168.25"/>
    <n v="0.01"/>
    <n v="2"/>
    <n v="14468"/>
    <n v="0.01"/>
  </r>
  <r>
    <x v="61"/>
    <x v="7"/>
    <n v="21043.9899999999"/>
    <n v="508609.12999999902"/>
    <n v="4.1399999999999997"/>
    <n v="25"/>
    <n v="3766"/>
    <n v="0.66"/>
  </r>
  <r>
    <x v="61"/>
    <x v="0"/>
    <n v="9596.9699999999993"/>
    <n v="261821.53999999899"/>
    <n v="3.67"/>
    <n v="10"/>
    <n v="1796"/>
    <n v="0.56000000000000005"/>
  </r>
  <r>
    <x v="61"/>
    <x v="13"/>
    <n v="10786.99"/>
    <n v="303593.40000000002"/>
    <n v="3.55"/>
    <n v="7"/>
    <n v="2416"/>
    <n v="0.28999999999999998"/>
  </r>
  <r>
    <x v="61"/>
    <x v="11"/>
    <n v="7096.79"/>
    <n v="226813.40999999901"/>
    <n v="3.13"/>
    <n v="6"/>
    <n v="1472"/>
    <n v="0.41"/>
  </r>
  <r>
    <x v="61"/>
    <x v="4"/>
    <n v="3319"/>
    <n v="175925.19"/>
    <n v="1.89"/>
    <n v="4"/>
    <n v="1067"/>
    <n v="0.37"/>
  </r>
  <r>
    <x v="61"/>
    <x v="9"/>
    <n v="2889.99"/>
    <n v="155690.51"/>
    <n v="1.86"/>
    <n v="2"/>
    <n v="1047"/>
    <n v="0.19"/>
  </r>
  <r>
    <x v="61"/>
    <x v="2"/>
    <n v="20973"/>
    <n v="1577629.1"/>
    <n v="1.33"/>
    <n v="19"/>
    <n v="13110"/>
    <n v="0.14000000000000001"/>
  </r>
  <r>
    <x v="61"/>
    <x v="1"/>
    <n v="3559.97"/>
    <n v="293729.82999999903"/>
    <n v="1.21"/>
    <n v="5"/>
    <n v="2316"/>
    <n v="0.22"/>
  </r>
  <r>
    <x v="61"/>
    <x v="6"/>
    <n v="21823.449999999899"/>
    <n v="1803168.25"/>
    <n v="1.21"/>
    <n v="22"/>
    <n v="14468"/>
    <n v="0.15"/>
  </r>
  <r>
    <x v="61"/>
    <x v="5"/>
    <n v="61993.27"/>
    <n v="5195744.47999998"/>
    <n v="1.19"/>
    <n v="59"/>
    <n v="47399"/>
    <n v="0.12"/>
  </r>
  <r>
    <x v="61"/>
    <x v="10"/>
    <n v="6069.98"/>
    <n v="514179.52999999898"/>
    <n v="1.18"/>
    <n v="5"/>
    <n v="4156"/>
    <n v="0.12"/>
  </r>
  <r>
    <x v="61"/>
    <x v="8"/>
    <n v="7947.8899999999903"/>
    <n v="751552.01999999897"/>
    <n v="1.06"/>
    <n v="7"/>
    <n v="6265"/>
    <n v="0.11"/>
  </r>
  <r>
    <x v="61"/>
    <x v="3"/>
    <n v="6676.98"/>
    <n v="683400.24999999895"/>
    <n v="0.98"/>
    <n v="4"/>
    <n v="5736"/>
    <n v="7.0000000000000007E-2"/>
  </r>
  <r>
    <x v="61"/>
    <x v="12"/>
    <n v="1329"/>
    <n v="263711.51999999897"/>
    <n v="0.5"/>
    <n v="2"/>
    <n v="2237"/>
    <n v="0.09"/>
  </r>
  <r>
    <x v="62"/>
    <x v="11"/>
    <n v="8747.73"/>
    <n v="226813.40999999901"/>
    <n v="3.86"/>
    <n v="57"/>
    <n v="1472"/>
    <n v="3.87"/>
  </r>
  <r>
    <x v="62"/>
    <x v="1"/>
    <n v="10291.58"/>
    <n v="293729.82999999903"/>
    <n v="3.5"/>
    <n v="93"/>
    <n v="2316"/>
    <n v="4.0199999999999996"/>
  </r>
  <r>
    <x v="62"/>
    <x v="13"/>
    <n v="10005.029999999901"/>
    <n v="303593.40000000002"/>
    <n v="3.3"/>
    <n v="89"/>
    <n v="2416"/>
    <n v="3.68"/>
  </r>
  <r>
    <x v="62"/>
    <x v="5"/>
    <n v="166790.32999999999"/>
    <n v="5195744.47999998"/>
    <n v="3.21"/>
    <n v="1481"/>
    <n v="47399"/>
    <n v="3.12"/>
  </r>
  <r>
    <x v="62"/>
    <x v="2"/>
    <n v="48733.989999999903"/>
    <n v="1577629.1"/>
    <n v="3.09"/>
    <n v="407"/>
    <n v="13110"/>
    <n v="3.1"/>
  </r>
  <r>
    <x v="62"/>
    <x v="6"/>
    <n v="53755.2599999999"/>
    <n v="1803168.25"/>
    <n v="2.98"/>
    <n v="449"/>
    <n v="14468"/>
    <n v="3.1"/>
  </r>
  <r>
    <x v="62"/>
    <x v="8"/>
    <n v="20547.2399999999"/>
    <n v="751552.01999999897"/>
    <n v="2.73"/>
    <n v="154"/>
    <n v="6265"/>
    <n v="2.46"/>
  </r>
  <r>
    <x v="62"/>
    <x v="10"/>
    <n v="13832.4399999999"/>
    <n v="514179.52999999898"/>
    <n v="2.69"/>
    <n v="118"/>
    <n v="4156"/>
    <n v="2.84"/>
  </r>
  <r>
    <x v="62"/>
    <x v="4"/>
    <n v="4594.26"/>
    <n v="175925.19"/>
    <n v="2.61"/>
    <n v="37"/>
    <n v="1067"/>
    <n v="3.47"/>
  </r>
  <r>
    <x v="62"/>
    <x v="12"/>
    <n v="6577.55"/>
    <n v="263711.51999999897"/>
    <n v="2.4900000000000002"/>
    <n v="68"/>
    <n v="2237"/>
    <n v="3.04"/>
  </r>
  <r>
    <x v="62"/>
    <x v="0"/>
    <n v="6521.82"/>
    <n v="261821.53999999899"/>
    <n v="2.4900000000000002"/>
    <n v="50"/>
    <n v="1796"/>
    <n v="2.78"/>
  </r>
  <r>
    <x v="62"/>
    <x v="3"/>
    <n v="15833.3199999999"/>
    <n v="683400.24999999895"/>
    <n v="2.3199999999999998"/>
    <n v="153"/>
    <n v="5736"/>
    <n v="2.67"/>
  </r>
  <r>
    <x v="62"/>
    <x v="7"/>
    <n v="9723.01"/>
    <n v="508609.12999999902"/>
    <n v="1.91"/>
    <n v="81"/>
    <n v="3766"/>
    <n v="2.15"/>
  </r>
  <r>
    <x v="62"/>
    <x v="9"/>
    <n v="2837.13"/>
    <n v="155690.51"/>
    <n v="1.82"/>
    <n v="30"/>
    <n v="1047"/>
    <n v="2.87"/>
  </r>
  <r>
    <x v="63"/>
    <x v="2"/>
    <n v="32263.339999999898"/>
    <n v="1577629.1"/>
    <n v="2.0499999999999998"/>
    <n v="252"/>
    <n v="13110"/>
    <n v="1.92"/>
  </r>
  <r>
    <x v="63"/>
    <x v="9"/>
    <n v="2936.2"/>
    <n v="155690.51"/>
    <n v="1.89"/>
    <n v="16"/>
    <n v="1047"/>
    <n v="1.53"/>
  </r>
  <r>
    <x v="63"/>
    <x v="10"/>
    <n v="9018"/>
    <n v="514179.52999999898"/>
    <n v="1.75"/>
    <n v="85"/>
    <n v="4156"/>
    <n v="2.0499999999999998"/>
  </r>
  <r>
    <x v="63"/>
    <x v="5"/>
    <n v="88602.450000000201"/>
    <n v="5195744.47999998"/>
    <n v="1.71"/>
    <n v="891"/>
    <n v="47399"/>
    <n v="1.88"/>
  </r>
  <r>
    <x v="63"/>
    <x v="13"/>
    <n v="5037.71"/>
    <n v="303593.40000000002"/>
    <n v="1.66"/>
    <n v="40"/>
    <n v="2416"/>
    <n v="1.66"/>
  </r>
  <r>
    <x v="63"/>
    <x v="1"/>
    <n v="4692.63"/>
    <n v="293729.82999999903"/>
    <n v="1.6"/>
    <n v="28"/>
    <n v="2316"/>
    <n v="1.21"/>
  </r>
  <r>
    <x v="63"/>
    <x v="8"/>
    <n v="11045.61"/>
    <n v="751552.01999999897"/>
    <n v="1.47"/>
    <n v="99"/>
    <n v="6265"/>
    <n v="1.58"/>
  </r>
  <r>
    <x v="63"/>
    <x v="6"/>
    <n v="25657.619999999901"/>
    <n v="1803168.25"/>
    <n v="1.42"/>
    <n v="217"/>
    <n v="14468"/>
    <n v="1.5"/>
  </r>
  <r>
    <x v="63"/>
    <x v="3"/>
    <n v="8456.64"/>
    <n v="683400.24999999895"/>
    <n v="1.24"/>
    <n v="91"/>
    <n v="5736"/>
    <n v="1.59"/>
  </r>
  <r>
    <x v="63"/>
    <x v="4"/>
    <n v="1979.8799999999901"/>
    <n v="175925.19"/>
    <n v="1.1299999999999999"/>
    <n v="11"/>
    <n v="1067"/>
    <n v="1.03"/>
  </r>
  <r>
    <x v="63"/>
    <x v="7"/>
    <n v="5643.78"/>
    <n v="508609.12999999902"/>
    <n v="1.1100000000000001"/>
    <n v="60"/>
    <n v="3766"/>
    <n v="1.59"/>
  </r>
  <r>
    <x v="63"/>
    <x v="0"/>
    <n v="2864.7799999999902"/>
    <n v="261821.53999999899"/>
    <n v="1.0900000000000001"/>
    <n v="23"/>
    <n v="1796"/>
    <n v="1.28"/>
  </r>
  <r>
    <x v="63"/>
    <x v="12"/>
    <n v="2171.08"/>
    <n v="263711.51999999897"/>
    <n v="0.82"/>
    <n v="26"/>
    <n v="2237"/>
    <n v="1.1599999999999999"/>
  </r>
  <r>
    <x v="63"/>
    <x v="11"/>
    <n v="1141.04"/>
    <n v="226813.40999999901"/>
    <n v="0.5"/>
    <n v="13"/>
    <n v="1472"/>
    <n v="0.88"/>
  </r>
  <r>
    <x v="64"/>
    <x v="3"/>
    <n v="8590"/>
    <n v="683400.24999999895"/>
    <n v="1.26"/>
    <n v="8"/>
    <n v="5736"/>
    <n v="0.14000000000000001"/>
  </r>
  <r>
    <x v="64"/>
    <x v="10"/>
    <n v="4754.8999999999996"/>
    <n v="514179.52999999898"/>
    <n v="0.92"/>
    <n v="4"/>
    <n v="4156"/>
    <n v="0.1"/>
  </r>
  <r>
    <x v="64"/>
    <x v="9"/>
    <n v="750"/>
    <n v="155690.51"/>
    <n v="0.48"/>
    <n v="1"/>
    <n v="1047"/>
    <n v="0.1"/>
  </r>
  <r>
    <x v="64"/>
    <x v="5"/>
    <n v="16562.55"/>
    <n v="5195744.47999998"/>
    <n v="0.32"/>
    <n v="35"/>
    <n v="47399"/>
    <n v="7.0000000000000007E-2"/>
  </r>
  <r>
    <x v="64"/>
    <x v="7"/>
    <n v="1574.9"/>
    <n v="508609.12999999902"/>
    <n v="0.31"/>
    <n v="3"/>
    <n v="3766"/>
    <n v="0.08"/>
  </r>
  <r>
    <x v="64"/>
    <x v="2"/>
    <n v="4668.38"/>
    <n v="1577629.1"/>
    <n v="0.3"/>
    <n v="10"/>
    <n v="13110"/>
    <n v="0.08"/>
  </r>
  <r>
    <x v="64"/>
    <x v="13"/>
    <n v="750"/>
    <n v="303593.40000000002"/>
    <n v="0.25"/>
    <n v="1"/>
    <n v="2416"/>
    <n v="0.04"/>
  </r>
  <r>
    <x v="64"/>
    <x v="0"/>
    <n v="640.99"/>
    <n v="261821.53999999899"/>
    <n v="0.24"/>
    <n v="1"/>
    <n v="1796"/>
    <n v="0.06"/>
  </r>
  <r>
    <x v="64"/>
    <x v="6"/>
    <n v="3911.09"/>
    <n v="1803168.25"/>
    <n v="0.22"/>
    <n v="7"/>
    <n v="14468"/>
    <n v="0.05"/>
  </r>
  <r>
    <x v="64"/>
    <x v="8"/>
    <n v="494.9"/>
    <n v="751552.01999999897"/>
    <n v="7.0000000000000007E-2"/>
    <n v="3"/>
    <n v="6265"/>
    <n v="0.05"/>
  </r>
  <r>
    <x v="65"/>
    <x v="4"/>
    <n v="979"/>
    <n v="175925.19"/>
    <n v="0.56000000000000005"/>
    <n v="1"/>
    <n v="1067"/>
    <n v="0.09"/>
  </r>
  <r>
    <x v="65"/>
    <x v="8"/>
    <n v="979"/>
    <n v="751552.01999999897"/>
    <n v="0.13"/>
    <n v="1"/>
    <n v="6265"/>
    <n v="0.02"/>
  </r>
  <r>
    <x v="65"/>
    <x v="2"/>
    <n v="1133.9000000000001"/>
    <n v="1577629.1"/>
    <n v="7.0000000000000007E-2"/>
    <n v="2"/>
    <n v="13110"/>
    <n v="0.02"/>
  </r>
  <r>
    <x v="65"/>
    <x v="5"/>
    <n v="736.31"/>
    <n v="5195744.47999998"/>
    <n v="0.01"/>
    <n v="8"/>
    <n v="47399"/>
    <n v="0.02"/>
  </r>
  <r>
    <x v="65"/>
    <x v="1"/>
    <n v="34.9"/>
    <n v="293729.82999999903"/>
    <n v="0.01"/>
    <n v="1"/>
    <n v="2316"/>
    <n v="0.04"/>
  </r>
  <r>
    <x v="65"/>
    <x v="6"/>
    <n v="83.9"/>
    <n v="1803168.25"/>
    <n v="0"/>
    <n v="1"/>
    <n v="14468"/>
    <n v="0.01"/>
  </r>
  <r>
    <x v="65"/>
    <x v="7"/>
    <n v="21.52"/>
    <n v="508609.12999999902"/>
    <n v="0"/>
    <n v="1"/>
    <n v="3766"/>
    <n v="0.03"/>
  </r>
  <r>
    <x v="66"/>
    <x v="11"/>
    <n v="29061.2399999999"/>
    <n v="226813.40999999901"/>
    <n v="12.81"/>
    <n v="134"/>
    <n v="1472"/>
    <n v="9.1"/>
  </r>
  <r>
    <x v="66"/>
    <x v="4"/>
    <n v="22517.81"/>
    <n v="175925.19"/>
    <n v="12.8"/>
    <n v="76"/>
    <n v="1067"/>
    <n v="7.12"/>
  </r>
  <r>
    <x v="66"/>
    <x v="0"/>
    <n v="31049.779999999901"/>
    <n v="261821.53999999899"/>
    <n v="11.86"/>
    <n v="165"/>
    <n v="1796"/>
    <n v="9.19"/>
  </r>
  <r>
    <x v="66"/>
    <x v="1"/>
    <n v="33128.8299999999"/>
    <n v="293729.82999999903"/>
    <n v="11.28"/>
    <n v="146"/>
    <n v="2316"/>
    <n v="6.3"/>
  </r>
  <r>
    <x v="66"/>
    <x v="13"/>
    <n v="32450.369999999901"/>
    <n v="303593.40000000002"/>
    <n v="10.69"/>
    <n v="146"/>
    <n v="2416"/>
    <n v="6.04"/>
  </r>
  <r>
    <x v="66"/>
    <x v="12"/>
    <n v="27393.199999999899"/>
    <n v="263711.51999999897"/>
    <n v="10.39"/>
    <n v="148"/>
    <n v="2237"/>
    <n v="6.62"/>
  </r>
  <r>
    <x v="66"/>
    <x v="6"/>
    <n v="183332.79"/>
    <n v="1803168.25"/>
    <n v="10.17"/>
    <n v="865"/>
    <n v="14468"/>
    <n v="5.98"/>
  </r>
  <r>
    <x v="66"/>
    <x v="9"/>
    <n v="15006.91"/>
    <n v="155690.51"/>
    <n v="9.64"/>
    <n v="61"/>
    <n v="1047"/>
    <n v="5.83"/>
  </r>
  <r>
    <x v="66"/>
    <x v="7"/>
    <n v="48810.6"/>
    <n v="508609.12999999902"/>
    <n v="9.6"/>
    <n v="233"/>
    <n v="3766"/>
    <n v="6.19"/>
  </r>
  <r>
    <x v="66"/>
    <x v="3"/>
    <n v="59649.24"/>
    <n v="683400.24999999895"/>
    <n v="8.73"/>
    <n v="305"/>
    <n v="5736"/>
    <n v="5.32"/>
  </r>
  <r>
    <x v="66"/>
    <x v="5"/>
    <n v="434834.81999999803"/>
    <n v="5195744.47999998"/>
    <n v="8.3699999999999992"/>
    <n v="2271"/>
    <n v="47399"/>
    <n v="4.79"/>
  </r>
  <r>
    <x v="66"/>
    <x v="2"/>
    <n v="122360.31"/>
    <n v="1577629.1"/>
    <n v="7.76"/>
    <n v="632"/>
    <n v="13110"/>
    <n v="4.82"/>
  </r>
  <r>
    <x v="66"/>
    <x v="10"/>
    <n v="33399.429999999898"/>
    <n v="514179.52999999898"/>
    <n v="6.5"/>
    <n v="184"/>
    <n v="4156"/>
    <n v="4.43"/>
  </r>
  <r>
    <x v="66"/>
    <x v="8"/>
    <n v="47915.4399999999"/>
    <n v="751552.01999999897"/>
    <n v="6.38"/>
    <n v="231"/>
    <n v="6265"/>
    <n v="3.69"/>
  </r>
  <r>
    <x v="67"/>
    <x v="13"/>
    <n v="100"/>
    <n v="303593.40000000002"/>
    <n v="0.03"/>
    <n v="1"/>
    <n v="2416"/>
    <n v="0.04"/>
  </r>
  <r>
    <x v="68"/>
    <x v="9"/>
    <n v="2919.4"/>
    <n v="155690.51"/>
    <n v="1.88"/>
    <n v="6"/>
    <n v="1047"/>
    <n v="0.56999999999999995"/>
  </r>
  <r>
    <x v="68"/>
    <x v="1"/>
    <n v="1071.3399999999999"/>
    <n v="293729.82999999903"/>
    <n v="0.36"/>
    <n v="6"/>
    <n v="2316"/>
    <n v="0.26"/>
  </r>
  <r>
    <x v="68"/>
    <x v="12"/>
    <n v="859.9"/>
    <n v="263711.51999999897"/>
    <n v="0.33"/>
    <n v="6"/>
    <n v="2237"/>
    <n v="0.27"/>
  </r>
  <r>
    <x v="68"/>
    <x v="13"/>
    <n v="626.03"/>
    <n v="303593.40000000002"/>
    <n v="0.21"/>
    <n v="4"/>
    <n v="2416"/>
    <n v="0.17"/>
  </r>
  <r>
    <x v="68"/>
    <x v="8"/>
    <n v="1392.44999999999"/>
    <n v="751552.01999999897"/>
    <n v="0.19"/>
    <n v="17"/>
    <n v="6265"/>
    <n v="0.27"/>
  </r>
  <r>
    <x v="68"/>
    <x v="5"/>
    <n v="7895.23"/>
    <n v="5195744.47999998"/>
    <n v="0.15"/>
    <n v="94"/>
    <n v="47399"/>
    <n v="0.2"/>
  </r>
  <r>
    <x v="68"/>
    <x v="7"/>
    <n v="725.83999999999901"/>
    <n v="508609.12999999902"/>
    <n v="0.14000000000000001"/>
    <n v="6"/>
    <n v="3766"/>
    <n v="0.16"/>
  </r>
  <r>
    <x v="68"/>
    <x v="6"/>
    <n v="2329.54"/>
    <n v="1803168.25"/>
    <n v="0.13"/>
    <n v="19"/>
    <n v="14468"/>
    <n v="0.13"/>
  </r>
  <r>
    <x v="68"/>
    <x v="10"/>
    <n v="612.5"/>
    <n v="514179.52999999898"/>
    <n v="0.12"/>
    <n v="10"/>
    <n v="4156"/>
    <n v="0.24"/>
  </r>
  <r>
    <x v="68"/>
    <x v="4"/>
    <n v="149.69999999999999"/>
    <n v="175925.19"/>
    <n v="0.09"/>
    <n v="3"/>
    <n v="1067"/>
    <n v="0.28000000000000003"/>
  </r>
  <r>
    <x v="68"/>
    <x v="2"/>
    <n v="754.44999999999902"/>
    <n v="1577629.1"/>
    <n v="0.05"/>
    <n v="11"/>
    <n v="13110"/>
    <n v="0.08"/>
  </r>
  <r>
    <x v="68"/>
    <x v="3"/>
    <n v="271.789999999999"/>
    <n v="683400.24999999895"/>
    <n v="0.04"/>
    <n v="3"/>
    <n v="5736"/>
    <n v="0.05"/>
  </r>
  <r>
    <x v="68"/>
    <x v="0"/>
    <n v="77.8"/>
    <n v="261821.53999999899"/>
    <n v="0.03"/>
    <n v="2"/>
    <n v="1796"/>
    <n v="0.11"/>
  </r>
  <r>
    <x v="69"/>
    <x v="4"/>
    <n v="361.789999999999"/>
    <n v="175925.19"/>
    <n v="0.21"/>
    <n v="4"/>
    <n v="1067"/>
    <n v="0.37"/>
  </r>
  <r>
    <x v="69"/>
    <x v="7"/>
    <n v="505.8"/>
    <n v="508609.12999999902"/>
    <n v="0.1"/>
    <n v="6"/>
    <n v="3766"/>
    <n v="0.16"/>
  </r>
  <r>
    <x v="69"/>
    <x v="0"/>
    <n v="198"/>
    <n v="261821.53999999899"/>
    <n v="0.08"/>
    <n v="2"/>
    <n v="1796"/>
    <n v="0.11"/>
  </r>
  <r>
    <x v="69"/>
    <x v="2"/>
    <n v="851.69999999999902"/>
    <n v="1577629.1"/>
    <n v="0.05"/>
    <n v="10"/>
    <n v="13110"/>
    <n v="0.08"/>
  </r>
  <r>
    <x v="69"/>
    <x v="12"/>
    <n v="136.80000000000001"/>
    <n v="263711.51999999897"/>
    <n v="0.05"/>
    <n v="3"/>
    <n v="2237"/>
    <n v="0.13"/>
  </r>
  <r>
    <x v="69"/>
    <x v="5"/>
    <n v="2449.7599999999902"/>
    <n v="5195744.47999998"/>
    <n v="0.05"/>
    <n v="32"/>
    <n v="47399"/>
    <n v="7.0000000000000007E-2"/>
  </r>
  <r>
    <x v="69"/>
    <x v="6"/>
    <n v="777.8"/>
    <n v="1803168.25"/>
    <n v="0.04"/>
    <n v="9"/>
    <n v="14468"/>
    <n v="0.06"/>
  </r>
  <r>
    <x v="69"/>
    <x v="3"/>
    <n v="250"/>
    <n v="683400.24999999895"/>
    <n v="0.04"/>
    <n v="3"/>
    <n v="5736"/>
    <n v="0.05"/>
  </r>
  <r>
    <x v="69"/>
    <x v="9"/>
    <n v="50.8"/>
    <n v="155690.51"/>
    <n v="0.03"/>
    <n v="2"/>
    <n v="1047"/>
    <n v="0.19"/>
  </r>
  <r>
    <x v="69"/>
    <x v="1"/>
    <n v="99"/>
    <n v="293729.82999999903"/>
    <n v="0.03"/>
    <n v="1"/>
    <n v="2316"/>
    <n v="0.04"/>
  </r>
  <r>
    <x v="69"/>
    <x v="8"/>
    <n v="99"/>
    <n v="751552.01999999897"/>
    <n v="0.01"/>
    <n v="1"/>
    <n v="6265"/>
    <n v="0.02"/>
  </r>
  <r>
    <x v="69"/>
    <x v="11"/>
    <n v="29.99"/>
    <n v="226813.40999999901"/>
    <n v="0.01"/>
    <n v="1"/>
    <n v="1472"/>
    <n v="7.0000000000000007E-2"/>
  </r>
  <r>
    <x v="70"/>
    <x v="7"/>
    <n v="21100.4399999999"/>
    <n v="508609.12999999902"/>
    <n v="4.1500000000000004"/>
    <n v="248"/>
    <n v="3766"/>
    <n v="6.59"/>
  </r>
  <r>
    <x v="70"/>
    <x v="0"/>
    <n v="10597.9399999999"/>
    <n v="261821.53999999899"/>
    <n v="4.05"/>
    <n v="129"/>
    <n v="1796"/>
    <n v="7.18"/>
  </r>
  <r>
    <x v="70"/>
    <x v="4"/>
    <n v="7048.4099999999899"/>
    <n v="175925.19"/>
    <n v="4.01"/>
    <n v="76"/>
    <n v="1067"/>
    <n v="7.12"/>
  </r>
  <r>
    <x v="70"/>
    <x v="12"/>
    <n v="9197.4899999999907"/>
    <n v="263711.51999999897"/>
    <n v="3.49"/>
    <n v="111"/>
    <n v="2237"/>
    <n v="4.96"/>
  </r>
  <r>
    <x v="70"/>
    <x v="11"/>
    <n v="7539.3299999999899"/>
    <n v="226813.40999999901"/>
    <n v="3.32"/>
    <n v="99"/>
    <n v="1472"/>
    <n v="6.73"/>
  </r>
  <r>
    <x v="70"/>
    <x v="8"/>
    <n v="19137.6899999999"/>
    <n v="751552.01999999897"/>
    <n v="2.5499999999999998"/>
    <n v="291"/>
    <n v="6265"/>
    <n v="4.6399999999999997"/>
  </r>
  <r>
    <x v="70"/>
    <x v="10"/>
    <n v="12093.4899999999"/>
    <n v="514179.52999999898"/>
    <n v="2.35"/>
    <n v="173"/>
    <n v="4156"/>
    <n v="4.16"/>
  </r>
  <r>
    <x v="70"/>
    <x v="9"/>
    <n v="3463.74"/>
    <n v="155690.51"/>
    <n v="2.2200000000000002"/>
    <n v="66"/>
    <n v="1047"/>
    <n v="6.3"/>
  </r>
  <r>
    <x v="70"/>
    <x v="2"/>
    <n v="34783.8299999999"/>
    <n v="1577629.1"/>
    <n v="2.2000000000000002"/>
    <n v="480"/>
    <n v="13110"/>
    <n v="3.66"/>
  </r>
  <r>
    <x v="70"/>
    <x v="1"/>
    <n v="6218.94"/>
    <n v="293729.82999999903"/>
    <n v="2.12"/>
    <n v="124"/>
    <n v="2316"/>
    <n v="5.35"/>
  </r>
  <r>
    <x v="70"/>
    <x v="6"/>
    <n v="37300.299999999901"/>
    <n v="1803168.25"/>
    <n v="2.0699999999999998"/>
    <n v="431"/>
    <n v="14468"/>
    <n v="2.98"/>
  </r>
  <r>
    <x v="70"/>
    <x v="13"/>
    <n v="6243.51"/>
    <n v="303593.40000000002"/>
    <n v="2.06"/>
    <n v="94"/>
    <n v="2416"/>
    <n v="3.89"/>
  </r>
  <r>
    <x v="70"/>
    <x v="5"/>
    <n v="103189.56"/>
    <n v="5195744.47999998"/>
    <n v="1.99"/>
    <n v="1639"/>
    <n v="47399"/>
    <n v="3.46"/>
  </r>
  <r>
    <x v="70"/>
    <x v="3"/>
    <n v="13254.789999999901"/>
    <n v="683400.24999999895"/>
    <n v="1.94"/>
    <n v="249"/>
    <n v="5736"/>
    <n v="4.34"/>
  </r>
  <r>
    <x v="71"/>
    <x v="12"/>
    <n v="8213.7799999999897"/>
    <n v="263711.51999999897"/>
    <n v="3.11"/>
    <n v="9"/>
    <n v="2237"/>
    <n v="0.4"/>
  </r>
  <r>
    <x v="71"/>
    <x v="6"/>
    <n v="19566.18"/>
    <n v="1803168.25"/>
    <n v="1.0900000000000001"/>
    <n v="36"/>
    <n v="14468"/>
    <n v="0.25"/>
  </r>
  <r>
    <x v="71"/>
    <x v="7"/>
    <n v="4131.82"/>
    <n v="508609.12999999902"/>
    <n v="0.81"/>
    <n v="12"/>
    <n v="3766"/>
    <n v="0.32"/>
  </r>
  <r>
    <x v="71"/>
    <x v="10"/>
    <n v="1916.88"/>
    <n v="514179.52999999898"/>
    <n v="0.37"/>
    <n v="7"/>
    <n v="4156"/>
    <n v="0.17"/>
  </r>
  <r>
    <x v="71"/>
    <x v="8"/>
    <n v="2391.77"/>
    <n v="751552.01999999897"/>
    <n v="0.32"/>
    <n v="18"/>
    <n v="6265"/>
    <n v="0.28999999999999998"/>
  </r>
  <r>
    <x v="71"/>
    <x v="5"/>
    <n v="15582.3299999999"/>
    <n v="5195744.47999998"/>
    <n v="0.3"/>
    <n v="117"/>
    <n v="47399"/>
    <n v="0.25"/>
  </r>
  <r>
    <x v="71"/>
    <x v="11"/>
    <n v="369.789999999999"/>
    <n v="226813.40999999901"/>
    <n v="0.16"/>
    <n v="4"/>
    <n v="1472"/>
    <n v="0.27"/>
  </r>
  <r>
    <x v="71"/>
    <x v="1"/>
    <n v="409.78"/>
    <n v="293729.82999999903"/>
    <n v="0.14000000000000001"/>
    <n v="6"/>
    <n v="2316"/>
    <n v="0.26"/>
  </r>
  <r>
    <x v="71"/>
    <x v="2"/>
    <n v="1233.6099999999999"/>
    <n v="1577629.1"/>
    <n v="0.08"/>
    <n v="16"/>
    <n v="13110"/>
    <n v="0.12"/>
  </r>
  <r>
    <x v="71"/>
    <x v="3"/>
    <n v="279.67999999999898"/>
    <n v="683400.24999999895"/>
    <n v="0.04"/>
    <n v="6"/>
    <n v="5736"/>
    <n v="0.1"/>
  </r>
  <r>
    <x v="71"/>
    <x v="0"/>
    <n v="89.88"/>
    <n v="261821.53999999899"/>
    <n v="0.03"/>
    <n v="3"/>
    <n v="1796"/>
    <n v="0.17"/>
  </r>
  <r>
    <x v="71"/>
    <x v="13"/>
    <n v="72.979999999999905"/>
    <n v="303593.40000000002"/>
    <n v="0.02"/>
    <n v="3"/>
    <n v="2416"/>
    <n v="0.12"/>
  </r>
  <r>
    <x v="72"/>
    <x v="5"/>
    <n v="274752.13999999902"/>
    <n v="5195744.47999998"/>
    <n v="5.29"/>
    <n v="3252"/>
    <n v="47399"/>
    <n v="6.86"/>
  </r>
  <r>
    <x v="72"/>
    <x v="10"/>
    <n v="26955.389999999901"/>
    <n v="514179.52999999898"/>
    <n v="5.24"/>
    <n v="264"/>
    <n v="4156"/>
    <n v="6.35"/>
  </r>
  <r>
    <x v="72"/>
    <x v="8"/>
    <n v="38585.639999999898"/>
    <n v="751552.01999999897"/>
    <n v="5.13"/>
    <n v="433"/>
    <n v="6265"/>
    <n v="6.91"/>
  </r>
  <r>
    <x v="72"/>
    <x v="1"/>
    <n v="14836.0999999999"/>
    <n v="293729.82999999903"/>
    <n v="5.05"/>
    <n v="132"/>
    <n v="2316"/>
    <n v="5.7"/>
  </r>
  <r>
    <x v="72"/>
    <x v="2"/>
    <n v="77946.030000000101"/>
    <n v="1577629.1"/>
    <n v="4.9400000000000004"/>
    <n v="833"/>
    <n v="13110"/>
    <n v="6.35"/>
  </r>
  <r>
    <x v="72"/>
    <x v="3"/>
    <n v="31221.5999999999"/>
    <n v="683400.24999999895"/>
    <n v="4.57"/>
    <n v="337"/>
    <n v="5736"/>
    <n v="5.88"/>
  </r>
  <r>
    <x v="72"/>
    <x v="12"/>
    <n v="11770.02"/>
    <n v="263711.51999999897"/>
    <n v="4.46"/>
    <n v="112"/>
    <n v="2237"/>
    <n v="5.01"/>
  </r>
  <r>
    <x v="72"/>
    <x v="6"/>
    <n v="77466.880000000107"/>
    <n v="1803168.25"/>
    <n v="4.3"/>
    <n v="874"/>
    <n v="14468"/>
    <n v="6.04"/>
  </r>
  <r>
    <x v="72"/>
    <x v="13"/>
    <n v="12940.959999999901"/>
    <n v="303593.40000000002"/>
    <n v="4.26"/>
    <n v="156"/>
    <n v="2416"/>
    <n v="6.46"/>
  </r>
  <r>
    <x v="72"/>
    <x v="11"/>
    <n v="7643.3099999999904"/>
    <n v="226813.40999999901"/>
    <n v="3.37"/>
    <n v="59"/>
    <n v="1472"/>
    <n v="4.01"/>
  </r>
  <r>
    <x v="72"/>
    <x v="7"/>
    <n v="16726.999999999902"/>
    <n v="508609.12999999902"/>
    <n v="3.29"/>
    <n v="157"/>
    <n v="3766"/>
    <n v="4.17"/>
  </r>
  <r>
    <x v="72"/>
    <x v="4"/>
    <n v="4660.21"/>
    <n v="175925.19"/>
    <n v="2.65"/>
    <n v="38"/>
    <n v="1067"/>
    <n v="3.56"/>
  </r>
  <r>
    <x v="72"/>
    <x v="9"/>
    <n v="3700.4"/>
    <n v="155690.51"/>
    <n v="2.38"/>
    <n v="53"/>
    <n v="1047"/>
    <n v="5.0599999999999996"/>
  </r>
  <r>
    <x v="72"/>
    <x v="0"/>
    <n v="5408.48"/>
    <n v="261821.53999999899"/>
    <n v="2.0699999999999998"/>
    <n v="62"/>
    <n v="1796"/>
    <n v="3.45"/>
  </r>
  <r>
    <x v="73"/>
    <x v="4"/>
    <n v="9178.9599999999991"/>
    <n v="175925.19"/>
    <n v="5.22"/>
    <n v="19"/>
    <n v="1067"/>
    <n v="1.78"/>
  </r>
  <r>
    <x v="73"/>
    <x v="1"/>
    <n v="8797.76"/>
    <n v="293729.82999999903"/>
    <n v="3"/>
    <n v="54"/>
    <n v="2316"/>
    <n v="2.33"/>
  </r>
  <r>
    <x v="73"/>
    <x v="0"/>
    <n v="4137.63"/>
    <n v="261821.53999999899"/>
    <n v="1.58"/>
    <n v="23"/>
    <n v="1796"/>
    <n v="1.28"/>
  </r>
  <r>
    <x v="73"/>
    <x v="11"/>
    <n v="3546.67"/>
    <n v="226813.40999999901"/>
    <n v="1.56"/>
    <n v="18"/>
    <n v="1472"/>
    <n v="1.22"/>
  </r>
  <r>
    <x v="73"/>
    <x v="10"/>
    <n v="7263.5499999999902"/>
    <n v="514179.52999999898"/>
    <n v="1.41"/>
    <n v="63"/>
    <n v="4156"/>
    <n v="1.52"/>
  </r>
  <r>
    <x v="73"/>
    <x v="5"/>
    <n v="67102.090000000098"/>
    <n v="5195744.47999998"/>
    <n v="1.29"/>
    <n v="657"/>
    <n v="47399"/>
    <n v="1.39"/>
  </r>
  <r>
    <x v="73"/>
    <x v="6"/>
    <n v="23252.519999999899"/>
    <n v="1803168.25"/>
    <n v="1.29"/>
    <n v="218"/>
    <n v="14468"/>
    <n v="1.51"/>
  </r>
  <r>
    <x v="73"/>
    <x v="7"/>
    <n v="6518.6399999999903"/>
    <n v="508609.12999999902"/>
    <n v="1.28"/>
    <n v="58"/>
    <n v="3766"/>
    <n v="1.54"/>
  </r>
  <r>
    <x v="73"/>
    <x v="3"/>
    <n v="8497.23"/>
    <n v="683400.24999999895"/>
    <n v="1.24"/>
    <n v="79"/>
    <n v="5736"/>
    <n v="1.38"/>
  </r>
  <r>
    <x v="73"/>
    <x v="2"/>
    <n v="18206.249999999902"/>
    <n v="1577629.1"/>
    <n v="1.1499999999999999"/>
    <n v="181"/>
    <n v="13110"/>
    <n v="1.38"/>
  </r>
  <r>
    <x v="73"/>
    <x v="8"/>
    <n v="8414.7000000000007"/>
    <n v="751552.01999999897"/>
    <n v="1.1200000000000001"/>
    <n v="100"/>
    <n v="6265"/>
    <n v="1.6"/>
  </r>
  <r>
    <x v="73"/>
    <x v="13"/>
    <n v="2701.81"/>
    <n v="303593.40000000002"/>
    <n v="0.89"/>
    <n v="33"/>
    <n v="2416"/>
    <n v="1.37"/>
  </r>
  <r>
    <x v="73"/>
    <x v="12"/>
    <n v="1614.27"/>
    <n v="263711.51999999897"/>
    <n v="0.61"/>
    <n v="18"/>
    <n v="2237"/>
    <n v="0.8"/>
  </r>
  <r>
    <x v="73"/>
    <x v="9"/>
    <n v="919.41"/>
    <n v="155690.51"/>
    <n v="0.59"/>
    <n v="11"/>
    <n v="1047"/>
    <n v="1.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26C77-DAF3-41B8-B129-58CE724E8CED}" name="PivotTable1" cacheId="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5">
  <location ref="A3:BW19" firstHeaderRow="1" firstDataRow="2" firstDataCol="1"/>
  <pivotFields count="8">
    <pivotField axis="axisCol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axis="axisRow" showAll="0">
      <items count="15">
        <item x="7"/>
        <item x="11"/>
        <item x="13"/>
        <item x="12"/>
        <item x="1"/>
        <item x="2"/>
        <item x="9"/>
        <item x="4"/>
        <item x="0"/>
        <item x="3"/>
        <item x="6"/>
        <item x="8"/>
        <item x="10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0"/>
  </colFields>
  <col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</colItems>
  <dataFields count="1">
    <dataField name="Sum of sales_in_state" fld="5" showDataAs="percentOfRow" baseField="1" baseItem="0" numFmtId="1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</conditionalFormats>
  <chartFormats count="7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4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4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4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4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4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4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4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4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4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4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4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4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4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4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4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4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4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4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4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4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4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4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4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4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4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4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4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4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4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4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4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4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4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4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4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4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4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4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4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4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4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01131-6C7D-42F9-AB1D-2923DAE5B82C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8" firstHeaderRow="0" firstDataRow="1" firstDataCol="1"/>
  <pivotFields count="8">
    <pivotField axis="axisRow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0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in_state" fld="5" showDataAs="percentOfTotal" baseField="0" baseItem="71" numFmtId="10"/>
    <dataField name="Sum of revenue_by_state_and_category" fld="2" showDataAs="percentOfTotal" baseField="0" baseItem="65" numFmtId="10"/>
  </dataFields>
  <conditionalFormats count="1">
    <conditionalFormat priority="2">
      <pivotAreas count="1">
        <pivotArea type="data" collapsedLevelsAreSubtotals="1" fieldPosition="0">
          <references count="1">
            <reference field="0" count="7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9D87E-63F4-4D0C-A59D-F55D8B8F1C1E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8">
    <pivotField showAll="0"/>
    <pivotField axis="axisRow" showAll="0">
      <items count="15">
        <item x="7"/>
        <item x="11"/>
        <item x="13"/>
        <item x="12"/>
        <item x="1"/>
        <item x="2"/>
        <item x="9"/>
        <item x="4"/>
        <item x="0"/>
        <item x="3"/>
        <item x="6"/>
        <item x="8"/>
        <item x="10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Max of pct_of_state_sales" fld="7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29B0A-2410-4767-B99D-09BD3F948395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D10" firstHeaderRow="0" firstDataRow="1" firstDataCol="1"/>
  <pivotFields count="12">
    <pivotField showAll="0"/>
    <pivotField showAll="0"/>
    <pivotField axis="axisRow" showAll="0">
      <items count="17">
        <item h="1" x="12"/>
        <item h="1" x="13"/>
        <item h="1" x="10"/>
        <item h="1" x="0"/>
        <item h="1" x="9"/>
        <item h="1" x="7"/>
        <item x="4"/>
        <item h="1" x="14"/>
        <item h="1" x="8"/>
        <item h="1" x="15"/>
        <item x="2"/>
        <item x="5"/>
        <item h="1" x="11"/>
        <item x="6"/>
        <item x="3"/>
        <item x="1"/>
        <item t="default"/>
      </items>
    </pivotField>
    <pivotField showAll="0"/>
    <pivotField showAll="0">
      <items count="242">
        <item x="35"/>
        <item x="33"/>
        <item x="18"/>
        <item x="31"/>
        <item x="10"/>
        <item x="46"/>
        <item x="3"/>
        <item x="34"/>
        <item x="16"/>
        <item x="83"/>
        <item x="11"/>
        <item x="40"/>
        <item x="52"/>
        <item x="74"/>
        <item x="71"/>
        <item x="55"/>
        <item x="92"/>
        <item x="77"/>
        <item x="28"/>
        <item x="6"/>
        <item x="29"/>
        <item x="45"/>
        <item x="53"/>
        <item x="12"/>
        <item x="78"/>
        <item x="101"/>
        <item x="90"/>
        <item x="58"/>
        <item x="79"/>
        <item x="95"/>
        <item x="15"/>
        <item x="86"/>
        <item x="47"/>
        <item x="91"/>
        <item x="25"/>
        <item x="54"/>
        <item x="1"/>
        <item x="117"/>
        <item x="63"/>
        <item x="42"/>
        <item x="22"/>
        <item x="68"/>
        <item x="105"/>
        <item x="21"/>
        <item x="20"/>
        <item x="19"/>
        <item x="7"/>
        <item x="69"/>
        <item x="150"/>
        <item x="201"/>
        <item x="167"/>
        <item x="141"/>
        <item x="23"/>
        <item x="24"/>
        <item x="43"/>
        <item x="82"/>
        <item x="129"/>
        <item x="37"/>
        <item x="85"/>
        <item x="89"/>
        <item x="158"/>
        <item x="137"/>
        <item x="30"/>
        <item x="98"/>
        <item x="130"/>
        <item x="62"/>
        <item x="224"/>
        <item x="153"/>
        <item x="104"/>
        <item x="50"/>
        <item x="14"/>
        <item x="121"/>
        <item x="199"/>
        <item x="27"/>
        <item x="13"/>
        <item x="145"/>
        <item x="17"/>
        <item x="32"/>
        <item x="160"/>
        <item x="114"/>
        <item x="111"/>
        <item x="115"/>
        <item x="200"/>
        <item x="59"/>
        <item x="132"/>
        <item x="184"/>
        <item x="196"/>
        <item x="218"/>
        <item x="179"/>
        <item x="134"/>
        <item x="96"/>
        <item x="118"/>
        <item x="197"/>
        <item x="161"/>
        <item x="165"/>
        <item x="234"/>
        <item x="154"/>
        <item x="73"/>
        <item x="221"/>
        <item x="202"/>
        <item x="238"/>
        <item x="147"/>
        <item x="110"/>
        <item x="116"/>
        <item x="97"/>
        <item x="155"/>
        <item x="143"/>
        <item x="240"/>
        <item x="8"/>
        <item x="198"/>
        <item x="142"/>
        <item x="57"/>
        <item x="61"/>
        <item x="48"/>
        <item x="102"/>
        <item x="81"/>
        <item x="209"/>
        <item x="5"/>
        <item x="36"/>
        <item x="168"/>
        <item x="170"/>
        <item x="39"/>
        <item x="70"/>
        <item x="66"/>
        <item x="122"/>
        <item x="119"/>
        <item x="144"/>
        <item x="156"/>
        <item x="166"/>
        <item x="112"/>
        <item x="106"/>
        <item x="93"/>
        <item x="94"/>
        <item x="99"/>
        <item x="100"/>
        <item x="4"/>
        <item x="2"/>
        <item x="135"/>
        <item x="230"/>
        <item x="131"/>
        <item x="76"/>
        <item x="41"/>
        <item x="172"/>
        <item x="219"/>
        <item x="175"/>
        <item x="152"/>
        <item x="180"/>
        <item x="140"/>
        <item x="213"/>
        <item x="49"/>
        <item x="192"/>
        <item x="178"/>
        <item x="232"/>
        <item x="204"/>
        <item x="138"/>
        <item x="214"/>
        <item x="193"/>
        <item x="103"/>
        <item x="210"/>
        <item x="185"/>
        <item x="38"/>
        <item x="163"/>
        <item x="75"/>
        <item x="44"/>
        <item x="225"/>
        <item x="125"/>
        <item x="157"/>
        <item x="189"/>
        <item x="235"/>
        <item x="0"/>
        <item x="107"/>
        <item x="233"/>
        <item x="215"/>
        <item x="9"/>
        <item x="226"/>
        <item x="222"/>
        <item x="205"/>
        <item x="195"/>
        <item x="67"/>
        <item x="139"/>
        <item x="228"/>
        <item x="64"/>
        <item x="51"/>
        <item x="108"/>
        <item x="239"/>
        <item x="186"/>
        <item x="206"/>
        <item x="181"/>
        <item x="149"/>
        <item x="159"/>
        <item x="80"/>
        <item x="162"/>
        <item x="207"/>
        <item x="231"/>
        <item x="177"/>
        <item x="176"/>
        <item x="146"/>
        <item x="126"/>
        <item x="203"/>
        <item x="164"/>
        <item x="190"/>
        <item x="208"/>
        <item x="223"/>
        <item x="169"/>
        <item x="127"/>
        <item x="26"/>
        <item x="65"/>
        <item x="133"/>
        <item x="88"/>
        <item x="87"/>
        <item x="187"/>
        <item x="182"/>
        <item x="128"/>
        <item x="183"/>
        <item x="136"/>
        <item x="72"/>
        <item x="120"/>
        <item x="60"/>
        <item x="217"/>
        <item x="174"/>
        <item x="237"/>
        <item x="109"/>
        <item x="216"/>
        <item x="236"/>
        <item x="227"/>
        <item x="194"/>
        <item x="148"/>
        <item x="212"/>
        <item x="188"/>
        <item x="113"/>
        <item x="123"/>
        <item x="171"/>
        <item x="229"/>
        <item x="173"/>
        <item x="56"/>
        <item x="191"/>
        <item x="220"/>
        <item x="211"/>
        <item x="84"/>
        <item x="124"/>
        <item x="151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2"/>
  </rowFields>
  <rowItems count="7">
    <i>
      <x v="6"/>
    </i>
    <i>
      <x v="10"/>
    </i>
    <i>
      <x v="11"/>
    </i>
    <i>
      <x v="13"/>
    </i>
    <i>
      <x v="14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ct_positive" fld="9" baseField="0" baseItem="0" numFmtId="10"/>
    <dataField name="Sum of pct_neutral" fld="10" baseField="0" baseItem="0" numFmtId="10"/>
    <dataField name="Sum of pct_negative" fld="11" baseField="0" baseItem="0" numFmtId="10"/>
  </dataFields>
  <formats count="4"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  <format dxfId="1">
      <pivotArea outline="0" fieldPosition="0">
        <references count="1">
          <reference field="4294967294" count="1">
            <x v="1"/>
          </reference>
        </references>
      </pivotArea>
    </format>
    <format dxfId="0">
      <pivotArea outline="0" fieldPosition="0">
        <references count="1">
          <reference field="4294967294" count="1">
            <x v="2"/>
          </reference>
        </references>
      </pivotArea>
    </format>
  </formats>
  <chartFormats count="9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CFBB2-DBBF-40E6-8D17-DFB41468E537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2">
    <pivotField dataField="1" subtotalTop="0" showAll="0" defaultSubtotal="0"/>
    <pivotField axis="axisRow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reviews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ellers reviews!$A$1:$I$88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1488A-7706-453A-8FC3-FA8A3CB8BC76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12">
    <pivotField showAll="0"/>
    <pivotField showAll="0"/>
    <pivotField axis="axisRow" showAll="0">
      <items count="17">
        <item h="1" x="12"/>
        <item h="1" x="13"/>
        <item h="1" x="10"/>
        <item h="1" x="0"/>
        <item h="1" x="9"/>
        <item h="1" x="7"/>
        <item x="4"/>
        <item h="1" x="14"/>
        <item h="1" x="8"/>
        <item h="1" x="15"/>
        <item x="2"/>
        <item x="5"/>
        <item h="1" x="11"/>
        <item x="6"/>
        <item x="3"/>
        <item x="1"/>
        <item t="default"/>
      </items>
    </pivotField>
    <pivotField dataField="1" showAll="0"/>
    <pivotField showAll="0">
      <items count="242">
        <item x="35"/>
        <item x="33"/>
        <item x="18"/>
        <item x="31"/>
        <item x="10"/>
        <item x="46"/>
        <item x="3"/>
        <item x="34"/>
        <item x="16"/>
        <item x="83"/>
        <item x="11"/>
        <item x="40"/>
        <item x="52"/>
        <item x="74"/>
        <item x="71"/>
        <item x="55"/>
        <item x="92"/>
        <item x="77"/>
        <item x="28"/>
        <item x="6"/>
        <item x="29"/>
        <item x="45"/>
        <item x="53"/>
        <item x="12"/>
        <item x="78"/>
        <item x="101"/>
        <item x="90"/>
        <item x="58"/>
        <item x="79"/>
        <item x="95"/>
        <item x="15"/>
        <item x="86"/>
        <item x="47"/>
        <item x="91"/>
        <item x="25"/>
        <item x="54"/>
        <item x="1"/>
        <item x="117"/>
        <item x="63"/>
        <item x="42"/>
        <item x="22"/>
        <item x="68"/>
        <item x="105"/>
        <item x="21"/>
        <item x="20"/>
        <item x="19"/>
        <item x="7"/>
        <item x="69"/>
        <item x="150"/>
        <item x="201"/>
        <item x="167"/>
        <item x="141"/>
        <item x="23"/>
        <item x="24"/>
        <item x="43"/>
        <item x="82"/>
        <item x="129"/>
        <item x="37"/>
        <item x="85"/>
        <item x="89"/>
        <item x="158"/>
        <item x="137"/>
        <item x="30"/>
        <item x="98"/>
        <item x="130"/>
        <item x="62"/>
        <item x="224"/>
        <item x="153"/>
        <item x="104"/>
        <item x="50"/>
        <item x="14"/>
        <item x="121"/>
        <item x="199"/>
        <item x="27"/>
        <item x="13"/>
        <item x="145"/>
        <item x="17"/>
        <item x="32"/>
        <item x="160"/>
        <item x="114"/>
        <item x="111"/>
        <item x="115"/>
        <item x="200"/>
        <item x="59"/>
        <item x="132"/>
        <item x="184"/>
        <item x="196"/>
        <item x="218"/>
        <item x="179"/>
        <item x="134"/>
        <item x="96"/>
        <item x="118"/>
        <item x="197"/>
        <item x="161"/>
        <item x="165"/>
        <item x="234"/>
        <item x="154"/>
        <item x="73"/>
        <item x="221"/>
        <item x="202"/>
        <item x="238"/>
        <item x="147"/>
        <item x="110"/>
        <item x="116"/>
        <item x="97"/>
        <item x="155"/>
        <item x="143"/>
        <item x="240"/>
        <item x="8"/>
        <item x="198"/>
        <item x="142"/>
        <item x="57"/>
        <item x="61"/>
        <item x="48"/>
        <item x="102"/>
        <item x="81"/>
        <item x="209"/>
        <item x="5"/>
        <item x="36"/>
        <item x="168"/>
        <item x="170"/>
        <item x="39"/>
        <item x="70"/>
        <item x="66"/>
        <item x="122"/>
        <item x="119"/>
        <item x="144"/>
        <item x="156"/>
        <item x="166"/>
        <item x="112"/>
        <item x="106"/>
        <item x="93"/>
        <item x="94"/>
        <item x="99"/>
        <item x="100"/>
        <item x="4"/>
        <item x="2"/>
        <item x="135"/>
        <item x="230"/>
        <item x="131"/>
        <item x="76"/>
        <item x="41"/>
        <item x="172"/>
        <item x="219"/>
        <item x="175"/>
        <item x="152"/>
        <item x="180"/>
        <item x="140"/>
        <item x="213"/>
        <item x="49"/>
        <item x="192"/>
        <item x="178"/>
        <item x="232"/>
        <item x="204"/>
        <item x="138"/>
        <item x="214"/>
        <item x="193"/>
        <item x="103"/>
        <item x="210"/>
        <item x="185"/>
        <item x="38"/>
        <item x="163"/>
        <item x="75"/>
        <item x="44"/>
        <item x="225"/>
        <item x="125"/>
        <item x="157"/>
        <item x="189"/>
        <item x="235"/>
        <item x="0"/>
        <item x="107"/>
        <item x="233"/>
        <item x="215"/>
        <item x="9"/>
        <item x="226"/>
        <item x="222"/>
        <item x="205"/>
        <item x="195"/>
        <item x="67"/>
        <item x="139"/>
        <item x="228"/>
        <item x="64"/>
        <item x="51"/>
        <item x="108"/>
        <item x="239"/>
        <item x="186"/>
        <item x="206"/>
        <item x="181"/>
        <item x="149"/>
        <item x="159"/>
        <item x="80"/>
        <item x="162"/>
        <item x="207"/>
        <item x="231"/>
        <item x="177"/>
        <item x="176"/>
        <item x="146"/>
        <item x="126"/>
        <item x="203"/>
        <item x="164"/>
        <item x="190"/>
        <item x="208"/>
        <item x="223"/>
        <item x="169"/>
        <item x="127"/>
        <item x="26"/>
        <item x="65"/>
        <item x="133"/>
        <item x="88"/>
        <item x="87"/>
        <item x="187"/>
        <item x="182"/>
        <item x="128"/>
        <item x="183"/>
        <item x="136"/>
        <item x="72"/>
        <item x="120"/>
        <item x="60"/>
        <item x="217"/>
        <item x="174"/>
        <item x="237"/>
        <item x="109"/>
        <item x="216"/>
        <item x="236"/>
        <item x="227"/>
        <item x="194"/>
        <item x="148"/>
        <item x="212"/>
        <item x="188"/>
        <item x="113"/>
        <item x="123"/>
        <item x="171"/>
        <item x="229"/>
        <item x="173"/>
        <item x="56"/>
        <item x="191"/>
        <item x="220"/>
        <item x="211"/>
        <item x="84"/>
        <item x="124"/>
        <item x="151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7">
    <i>
      <x v="6"/>
    </i>
    <i>
      <x v="10"/>
    </i>
    <i>
      <x v="11"/>
    </i>
    <i>
      <x v="13"/>
    </i>
    <i>
      <x v="14"/>
    </i>
    <i>
      <x v="15"/>
    </i>
    <i t="grand">
      <x/>
    </i>
  </rowItems>
  <colItems count="1">
    <i/>
  </colItems>
  <dataFields count="1">
    <dataField name="Average of avg_score" fld="3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AC8AC-0A49-4AB7-9B2F-2DBA8659021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2" firstHeaderRow="1" firstDataRow="2" firstDataCol="1"/>
  <pivotFields count="7">
    <pivotField showAll="0"/>
    <pivotField showAll="0"/>
    <pivotField axis="axisRow" showAll="0">
      <items count="8">
        <item x="1"/>
        <item x="6"/>
        <item x="3"/>
        <item x="2"/>
        <item x="4"/>
        <item x="5"/>
        <item x="0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count" fld="6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6B8363-23FB-4881-9B45-D9EE23505E07}" name="Brazil_States" displayName="Brazil_States" ref="A1:F28" totalsRowShown="0" headerRowDxfId="14" dataDxfId="13" dataCellStyle="Comma">
  <tableColumns count="6">
    <tableColumn id="1" xr3:uid="{E13C360C-44BE-4742-BE50-F0625602F32E}" name="Federative Unit/State" dataDxfId="12"/>
    <tableColumn id="2" xr3:uid="{4F51058F-4A75-4CA5-AD48-FA259EA048B7}" name="State abreviatio" dataDxfId="11"/>
    <tableColumn id="3" xr3:uid="{37BBE08C-A622-4C23-A71E-2EDF7AC77E59}" name="GDP(I) 2016 (1,000,000 R$)" dataDxfId="10" dataCellStyle="Comma"/>
    <tableColumn id="4" xr3:uid="{0B10E2E3-68C9-467C-84BC-9B4B89F0C2C1}" name="GDP(I) 2017 (1,000,000 R$)" dataDxfId="9" dataCellStyle="Comma"/>
    <tableColumn id="5" xr3:uid="{A760E6BC-CF72-41EC-87A0-A339EAC0F058}" name="GDP(I) 2018 (1,000,000 R$)" dataDxfId="8" dataCellStyle="Comma"/>
    <tableColumn id="6" xr3:uid="{35D3AF9B-C67D-4D14-BF22-4B0BC322EAD5}" name="Population est (2020)" dataDxfId="7">
      <calculatedColumnFormula>SUBSTITUTE(_xlfn.XLOOKUP(
    Brazil_States[[#This Row],[Federative Unit/State]],
    population_table[State],
    population_table[population]
), ".", 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D77E04-91F2-4A01-8F42-9DF698DBD0D4}" name="population_table" displayName="population_table" ref="H1:I28" totalsRowShown="0" tableBorderDxfId="6">
  <tableColumns count="2">
    <tableColumn id="1" xr3:uid="{3153BA57-6C80-4307-A027-ABA3C6E6F284}" name="State" dataDxfId="5" dataCellStyle="Normal_ESTIMATIVAS MUNICIPAIS 2011"/>
    <tableColumn id="2" xr3:uid="{74E9A284-6E2C-4045-9D60-F8E21D859ECD}" name="population" dataDxfId="4" dataCellStyle="Normal_ESTIMATIVAS MUNICIPAIS 20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93DFEB-8D5C-44E7-8D6F-9373D39B6E1A}" name="Brazil_States4" displayName="Brazil_States4" ref="A1:F28" totalsRowShown="0" headerRowDxfId="22" dataDxfId="21" dataCellStyle="Comma">
  <tableColumns count="6">
    <tableColumn id="1" xr3:uid="{39C29F6D-477D-4F9D-A865-FD3BD5909BA7}" name="Federative Unit/State" dataDxfId="20"/>
    <tableColumn id="2" xr3:uid="{0A2BA333-46CF-4D68-8652-50886ECFEAD8}" name="State abreviatio" dataDxfId="19"/>
    <tableColumn id="3" xr3:uid="{3D581573-CF2E-4C6B-A9C2-8C64375ED250}" name="GDP(I) 2016 (1,000,000 R$)" dataDxfId="18" dataCellStyle="Comma"/>
    <tableColumn id="4" xr3:uid="{573A2855-AFB4-4708-B9CB-3FBE153E65D5}" name="GDP(I) 2017 (1,000,000 R$)" dataDxfId="17" dataCellStyle="Comma"/>
    <tableColumn id="5" xr3:uid="{D406360A-A9C0-4323-9BC0-342EA07962D4}" name="GDP(I) 2018 (1,000,000 R$)" dataDxfId="16" dataCellStyle="Comma"/>
    <tableColumn id="6" xr3:uid="{FBEB5252-91BF-484C-8A55-8FC89975EE32}" name="Population est (2020)" dataDxfId="15" dataCellStyle="Comma">
      <calculatedColumnFormula>SUBSTITUTE(_xlfn.XLOOKUP(
    Brazil_States[[#This Row],[Federative Unit/State]],
    population_table[State],
    population_table[population]
), ".",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S%C3%A3o_Paulo_(state)" TargetMode="External"/><Relationship Id="rId13" Type="http://schemas.openxmlformats.org/officeDocument/2006/relationships/hyperlink" Target="https://en.wikipedia.org/wiki/Sergipe" TargetMode="External"/><Relationship Id="rId18" Type="http://schemas.openxmlformats.org/officeDocument/2006/relationships/hyperlink" Target="https://en.wikipedia.org/wiki/Para%C3%ADba" TargetMode="External"/><Relationship Id="rId26" Type="http://schemas.openxmlformats.org/officeDocument/2006/relationships/hyperlink" Target="https://en.wikipedia.org/wiki/Mato_Grosso" TargetMode="External"/><Relationship Id="rId3" Type="http://schemas.openxmlformats.org/officeDocument/2006/relationships/hyperlink" Target="https://en.wikipedia.org/wiki/Santa_Catarina_(state)" TargetMode="External"/><Relationship Id="rId21" Type="http://schemas.openxmlformats.org/officeDocument/2006/relationships/hyperlink" Target="https://en.wikipedia.org/wiki/Amazonas_(Brazilian_state)" TargetMode="External"/><Relationship Id="rId7" Type="http://schemas.openxmlformats.org/officeDocument/2006/relationships/hyperlink" Target="https://en.wikipedia.org/wiki/Rio_de_Janeiro_(state)" TargetMode="External"/><Relationship Id="rId12" Type="http://schemas.openxmlformats.org/officeDocument/2006/relationships/hyperlink" Target="https://en.wikipedia.org/wiki/Amap%C3%A1" TargetMode="External"/><Relationship Id="rId17" Type="http://schemas.openxmlformats.org/officeDocument/2006/relationships/hyperlink" Target="https://en.wikipedia.org/wiki/Rio_Grande_do_Norte" TargetMode="External"/><Relationship Id="rId25" Type="http://schemas.openxmlformats.org/officeDocument/2006/relationships/hyperlink" Target="https://en.wikipedia.org/wiki/Pernambuco" TargetMode="External"/><Relationship Id="rId2" Type="http://schemas.openxmlformats.org/officeDocument/2006/relationships/hyperlink" Target="https://agenciadenoticias.ibge.gov.br/en/agencia-news/2184-news-agency/news/45154-gdp-grows-in-all-the-27-states-in-brazil-in-2023" TargetMode="External"/><Relationship Id="rId16" Type="http://schemas.openxmlformats.org/officeDocument/2006/relationships/hyperlink" Target="https://en.wikipedia.org/wiki/Piau%C3%AD" TargetMode="External"/><Relationship Id="rId20" Type="http://schemas.openxmlformats.org/officeDocument/2006/relationships/hyperlink" Target="https://en.wikipedia.org/wiki/Maranh%C3%A3o" TargetMode="External"/><Relationship Id="rId29" Type="http://schemas.openxmlformats.org/officeDocument/2006/relationships/hyperlink" Target="https://en.wikipedia.org/wiki/Goi%C3%A1s" TargetMode="External"/><Relationship Id="rId1" Type="http://schemas.openxmlformats.org/officeDocument/2006/relationships/hyperlink" Target="https://grokipedia.com/page/List_of_Brazilian_states_by_GDP" TargetMode="External"/><Relationship Id="rId6" Type="http://schemas.openxmlformats.org/officeDocument/2006/relationships/hyperlink" Target="https://en.wikipedia.org/wiki/Minas_Gerais" TargetMode="External"/><Relationship Id="rId11" Type="http://schemas.openxmlformats.org/officeDocument/2006/relationships/hyperlink" Target="https://en.wikipedia.org/wiki/Acre_(state)" TargetMode="External"/><Relationship Id="rId24" Type="http://schemas.openxmlformats.org/officeDocument/2006/relationships/hyperlink" Target="https://en.wikipedia.org/wiki/Esp%C3%ADrito_Santo" TargetMode="External"/><Relationship Id="rId5" Type="http://schemas.openxmlformats.org/officeDocument/2006/relationships/hyperlink" Target="https://en.wikipedia.org/wiki/Paran%C3%A1_(state)" TargetMode="External"/><Relationship Id="rId15" Type="http://schemas.openxmlformats.org/officeDocument/2006/relationships/hyperlink" Target="https://en.wikipedia.org/wiki/Rond%C3%B4nia" TargetMode="External"/><Relationship Id="rId23" Type="http://schemas.openxmlformats.org/officeDocument/2006/relationships/hyperlink" Target="https://en.wikipedia.org/wiki/Cear%C3%A1" TargetMode="External"/><Relationship Id="rId28" Type="http://schemas.openxmlformats.org/officeDocument/2006/relationships/hyperlink" Target="https://en.wikipedia.org/wiki/Federal_District_(Brazil)" TargetMode="External"/><Relationship Id="rId10" Type="http://schemas.openxmlformats.org/officeDocument/2006/relationships/hyperlink" Target="https://en.wikipedia.org/wiki/Roraima" TargetMode="External"/><Relationship Id="rId19" Type="http://schemas.openxmlformats.org/officeDocument/2006/relationships/hyperlink" Target="https://en.wikipedia.org/wiki/Alagoas" TargetMode="External"/><Relationship Id="rId4" Type="http://schemas.openxmlformats.org/officeDocument/2006/relationships/hyperlink" Target="https://en.wikipedia.org/wiki/Rio_Grande_do_Sul" TargetMode="External"/><Relationship Id="rId9" Type="http://schemas.openxmlformats.org/officeDocument/2006/relationships/hyperlink" Target="https://en.wikipedia.org/wiki/Bahia" TargetMode="External"/><Relationship Id="rId14" Type="http://schemas.openxmlformats.org/officeDocument/2006/relationships/hyperlink" Target="https://en.wikipedia.org/wiki/Tocantins" TargetMode="External"/><Relationship Id="rId22" Type="http://schemas.openxmlformats.org/officeDocument/2006/relationships/hyperlink" Target="https://en.wikipedia.org/wiki/Mato_Grosso_do_Sul" TargetMode="External"/><Relationship Id="rId27" Type="http://schemas.openxmlformats.org/officeDocument/2006/relationships/hyperlink" Target="https://en.wikipedia.org/wiki/Par%C3%A1" TargetMode="External"/><Relationship Id="rId30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6860-FA67-41B2-8262-BA50056C26F3}">
  <dimension ref="A1:D40"/>
  <sheetViews>
    <sheetView tabSelected="1" topLeftCell="A31" workbookViewId="0">
      <selection activeCell="B40" sqref="B40"/>
    </sheetView>
  </sheetViews>
  <sheetFormatPr defaultRowHeight="14.4"/>
  <cols>
    <col min="1" max="1" width="26.5546875" bestFit="1" customWidth="1"/>
    <col min="2" max="2" width="77.6640625" customWidth="1"/>
    <col min="3" max="3" width="45.21875" customWidth="1"/>
    <col min="4" max="4" width="35" customWidth="1"/>
  </cols>
  <sheetData>
    <row r="1" spans="1:3">
      <c r="A1" t="s">
        <v>1480</v>
      </c>
      <c r="B1" t="s">
        <v>1479</v>
      </c>
    </row>
    <row r="2" spans="1:3" ht="20.399999999999999" thickBot="1">
      <c r="A2" s="11" t="s">
        <v>1341</v>
      </c>
      <c r="B2" s="9" t="s">
        <v>1342</v>
      </c>
    </row>
    <row r="3" spans="1:3" ht="15" thickTop="1">
      <c r="A3" s="9" t="s">
        <v>1343</v>
      </c>
      <c r="B3" s="9"/>
    </row>
    <row r="4" spans="1:3">
      <c r="A4" s="9" t="s">
        <v>1344</v>
      </c>
      <c r="B4" s="9"/>
    </row>
    <row r="5" spans="1:3">
      <c r="A5" s="9" t="s">
        <v>1346</v>
      </c>
      <c r="B5" s="9"/>
    </row>
    <row r="6" spans="1:3">
      <c r="A6" s="9" t="s">
        <v>1345</v>
      </c>
      <c r="B6" s="9"/>
    </row>
    <row r="7" spans="1:3">
      <c r="A7" s="9"/>
      <c r="B7" s="9"/>
    </row>
    <row r="8" spans="1:3">
      <c r="A8" s="9" t="s">
        <v>1478</v>
      </c>
      <c r="B8" s="9" t="s">
        <v>1481</v>
      </c>
      <c r="C8" s="9" t="s">
        <v>1482</v>
      </c>
    </row>
    <row r="9" spans="1:3">
      <c r="A9" s="61" t="s">
        <v>908</v>
      </c>
      <c r="B9" s="62">
        <v>5202955.05</v>
      </c>
      <c r="C9" s="61">
        <v>38.299999999999997</v>
      </c>
    </row>
    <row r="10" spans="1:3">
      <c r="A10" s="61" t="s">
        <v>959</v>
      </c>
      <c r="B10" s="62">
        <v>1824092.67</v>
      </c>
      <c r="C10" s="61">
        <v>13.4</v>
      </c>
    </row>
    <row r="11" spans="1:3">
      <c r="A11" s="61" t="s">
        <v>913</v>
      </c>
      <c r="B11" s="62">
        <v>1585308.03</v>
      </c>
      <c r="C11" s="61">
        <v>11.7</v>
      </c>
    </row>
    <row r="12" spans="1:3">
      <c r="A12" s="61" t="s">
        <v>925</v>
      </c>
      <c r="B12" s="62">
        <v>750304.02</v>
      </c>
      <c r="C12" s="61">
        <v>5.5</v>
      </c>
    </row>
    <row r="13" spans="1:3">
      <c r="A13" s="61" t="s">
        <v>920</v>
      </c>
      <c r="B13" s="62">
        <v>683083.76</v>
      </c>
      <c r="C13" s="61">
        <v>5</v>
      </c>
    </row>
    <row r="14" spans="1:3">
      <c r="A14" s="61" t="s">
        <v>930</v>
      </c>
      <c r="B14" s="62">
        <v>520553.34</v>
      </c>
      <c r="C14" s="61">
        <v>3.8</v>
      </c>
    </row>
    <row r="17" spans="1:4" ht="18" thickBot="1">
      <c r="A17" s="10" t="s">
        <v>1332</v>
      </c>
    </row>
    <row r="18" spans="1:4" ht="15" thickTop="1">
      <c r="A18" s="9" t="s">
        <v>1333</v>
      </c>
      <c r="B18" s="9" t="s">
        <v>1334</v>
      </c>
      <c r="C18" s="9" t="s">
        <v>1339</v>
      </c>
      <c r="D18" s="9" t="s">
        <v>1340</v>
      </c>
    </row>
    <row r="19" spans="1:4">
      <c r="A19" s="9"/>
      <c r="B19" s="9"/>
      <c r="C19" s="9"/>
      <c r="D19" s="9"/>
    </row>
    <row r="20" spans="1:4">
      <c r="A20" s="9"/>
      <c r="B20" s="9"/>
      <c r="C20" s="9"/>
      <c r="D20" s="9"/>
    </row>
    <row r="21" spans="1:4">
      <c r="A21" s="9"/>
      <c r="B21" s="9"/>
      <c r="C21" s="9"/>
      <c r="D21" s="9"/>
    </row>
    <row r="24" spans="1:4" ht="18" thickBot="1">
      <c r="A24" s="10" t="s">
        <v>1335</v>
      </c>
    </row>
    <row r="25" spans="1:4" ht="15" thickTop="1">
      <c r="A25" s="9" t="s">
        <v>1336</v>
      </c>
      <c r="B25" s="9" t="s">
        <v>1337</v>
      </c>
      <c r="C25" s="9" t="s">
        <v>1338</v>
      </c>
    </row>
    <row r="26" spans="1:4" ht="28.8">
      <c r="A26" s="13" t="s">
        <v>1347</v>
      </c>
      <c r="B26" s="3" t="s">
        <v>1348</v>
      </c>
      <c r="C26" s="12" t="s">
        <v>1349</v>
      </c>
    </row>
    <row r="27" spans="1:4" ht="43.2">
      <c r="A27" s="13" t="s">
        <v>1356</v>
      </c>
      <c r="B27" s="12" t="s">
        <v>1357</v>
      </c>
      <c r="C27" s="12" t="s">
        <v>1358</v>
      </c>
    </row>
    <row r="28" spans="1:4" ht="43.2">
      <c r="A28" s="12" t="s">
        <v>1353</v>
      </c>
      <c r="B28" s="12" t="s">
        <v>1350</v>
      </c>
      <c r="C28" s="12" t="s">
        <v>1351</v>
      </c>
    </row>
    <row r="29" spans="1:4" ht="28.8">
      <c r="A29" s="12" t="s">
        <v>1352</v>
      </c>
      <c r="B29" s="12" t="s">
        <v>1354</v>
      </c>
      <c r="C29" s="12" t="s">
        <v>1355</v>
      </c>
    </row>
    <row r="30" spans="1:4">
      <c r="A30" s="12"/>
      <c r="B30" s="12"/>
      <c r="C30" s="12"/>
    </row>
    <row r="31" spans="1:4" ht="43.2">
      <c r="A31" s="12" t="s">
        <v>1359</v>
      </c>
      <c r="B31" s="12" t="s">
        <v>1361</v>
      </c>
      <c r="C31" s="12" t="s">
        <v>1360</v>
      </c>
      <c r="D31" s="12" t="s">
        <v>1362</v>
      </c>
    </row>
    <row r="37" spans="1:3" ht="18" thickBot="1">
      <c r="A37" s="10" t="s">
        <v>1363</v>
      </c>
    </row>
    <row r="38" spans="1:3" ht="15" thickTop="1">
      <c r="A38" s="9" t="s">
        <v>1364</v>
      </c>
      <c r="B38" t="s">
        <v>1365</v>
      </c>
      <c r="C38" t="s">
        <v>1366</v>
      </c>
    </row>
    <row r="39" spans="1:3">
      <c r="A39" s="9" t="s">
        <v>1336</v>
      </c>
      <c r="B39" s="9" t="s">
        <v>1337</v>
      </c>
      <c r="C39" s="9" t="s">
        <v>1338</v>
      </c>
    </row>
    <row r="40" spans="1:3" ht="43.2">
      <c r="A40" t="s">
        <v>1483</v>
      </c>
      <c r="B40" s="3" t="s">
        <v>1484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9B19E-D35D-4665-B3E2-5DCFBF6B2CCA}">
  <dimension ref="A1:V69"/>
  <sheetViews>
    <sheetView topLeftCell="H1" zoomScale="80" workbookViewId="0">
      <selection activeCell="N1" sqref="N1"/>
    </sheetView>
  </sheetViews>
  <sheetFormatPr defaultRowHeight="14.4"/>
  <cols>
    <col min="5" max="5" width="13.5546875" customWidth="1"/>
    <col min="6" max="6" width="39.77734375" customWidth="1"/>
    <col min="8" max="8" width="25" customWidth="1"/>
    <col min="9" max="10" width="17" customWidth="1"/>
    <col min="11" max="11" width="13.77734375" customWidth="1"/>
    <col min="12" max="12" width="34.6640625" customWidth="1"/>
    <col min="13" max="13" width="21.5546875" customWidth="1"/>
    <col min="14" max="14" width="21.44140625" customWidth="1"/>
    <col min="15" max="15" width="17.33203125" customWidth="1"/>
    <col min="16" max="16" width="20.77734375" customWidth="1"/>
    <col min="17" max="17" width="22.44140625" bestFit="1" customWidth="1"/>
    <col min="18" max="18" width="21.44140625" customWidth="1"/>
    <col min="19" max="19" width="38.77734375" customWidth="1"/>
    <col min="20" max="20" width="24.6640625" customWidth="1"/>
    <col min="22" max="22" width="26" customWidth="1"/>
  </cols>
  <sheetData>
    <row r="1" spans="1:22" ht="66" customHeight="1" thickBot="1">
      <c r="A1" s="56" t="s">
        <v>1367</v>
      </c>
      <c r="B1" s="57"/>
      <c r="C1" s="57"/>
      <c r="D1" s="58"/>
      <c r="E1" t="s">
        <v>1409</v>
      </c>
      <c r="F1" s="24" t="s">
        <v>1407</v>
      </c>
      <c r="G1" s="19" t="s">
        <v>1403</v>
      </c>
      <c r="H1" s="20" t="s">
        <v>1404</v>
      </c>
      <c r="I1" s="20" t="s">
        <v>1411</v>
      </c>
      <c r="J1" s="19" t="s">
        <v>1410</v>
      </c>
      <c r="K1" t="s">
        <v>1409</v>
      </c>
      <c r="L1" s="25" t="s">
        <v>1408</v>
      </c>
      <c r="M1" s="12" t="s">
        <v>1413</v>
      </c>
      <c r="N1" s="12" t="s">
        <v>1412</v>
      </c>
      <c r="O1" s="12"/>
      <c r="R1" s="42" t="s">
        <v>1468</v>
      </c>
      <c r="S1" s="43" t="s">
        <v>1469</v>
      </c>
      <c r="T1" s="43"/>
    </row>
    <row r="2" spans="1:22" ht="46.2" customHeight="1" thickBot="1">
      <c r="A2" s="59" t="s">
        <v>1368</v>
      </c>
      <c r="B2" s="56" t="s">
        <v>1369</v>
      </c>
      <c r="C2" s="57"/>
      <c r="D2" s="58"/>
      <c r="E2" s="24"/>
      <c r="G2" s="21">
        <v>1</v>
      </c>
      <c r="H2" s="22" t="s">
        <v>1393</v>
      </c>
      <c r="I2" s="23">
        <v>3444.8139999999999</v>
      </c>
      <c r="J2" s="27">
        <f>I2/SUM(I$2:I$28)</f>
        <v>0.31478617234619105</v>
      </c>
      <c r="K2" s="25"/>
      <c r="N2" s="28" t="s">
        <v>1414</v>
      </c>
      <c r="O2" s="31" t="s">
        <v>1418</v>
      </c>
      <c r="P2" s="31" t="s">
        <v>1419</v>
      </c>
      <c r="Q2" s="31" t="s">
        <v>1420</v>
      </c>
      <c r="T2" s="51" t="s">
        <v>1463</v>
      </c>
      <c r="U2" s="52"/>
      <c r="V2" s="53"/>
    </row>
    <row r="3" spans="1:22" ht="29.4" customHeight="1" thickBot="1">
      <c r="A3" s="60"/>
      <c r="B3" s="14">
        <v>2002</v>
      </c>
      <c r="C3" s="14">
        <v>2022</v>
      </c>
      <c r="D3" s="14">
        <v>2023</v>
      </c>
      <c r="E3" s="24"/>
      <c r="G3" s="21">
        <v>2</v>
      </c>
      <c r="H3" s="22" t="s">
        <v>1392</v>
      </c>
      <c r="I3" s="23">
        <v>1172.8710000000001</v>
      </c>
      <c r="J3" s="27">
        <f t="shared" ref="J3:J28" si="0">I3/SUM(I$2:I$28)</f>
        <v>0.10717663500724553</v>
      </c>
      <c r="K3" s="25"/>
      <c r="M3" s="32" t="s">
        <v>1423</v>
      </c>
      <c r="N3" t="s">
        <v>1393</v>
      </c>
      <c r="O3" s="29">
        <v>2038757.3816383565</v>
      </c>
      <c r="P3" s="29">
        <v>2120761.6351115662</v>
      </c>
      <c r="Q3" s="29">
        <v>2210561.9494777005</v>
      </c>
      <c r="T3" s="49" t="s">
        <v>1464</v>
      </c>
      <c r="U3" s="50"/>
      <c r="V3" s="46" t="s">
        <v>1465</v>
      </c>
    </row>
    <row r="4" spans="1:22" ht="29.4" customHeight="1" thickBot="1">
      <c r="A4" s="15" t="s">
        <v>1370</v>
      </c>
      <c r="B4" s="16">
        <v>100</v>
      </c>
      <c r="C4" s="16">
        <v>100</v>
      </c>
      <c r="D4" s="16">
        <v>100</v>
      </c>
      <c r="G4" s="21">
        <v>3</v>
      </c>
      <c r="H4" s="22" t="s">
        <v>1390</v>
      </c>
      <c r="I4" s="22">
        <v>971.97799999999995</v>
      </c>
      <c r="J4" s="27">
        <f t="shared" si="0"/>
        <v>8.8819086959326707E-2</v>
      </c>
      <c r="M4" s="32" t="s">
        <v>1424</v>
      </c>
      <c r="N4" t="s">
        <v>1392</v>
      </c>
      <c r="O4" s="29">
        <v>640401.2064523648</v>
      </c>
      <c r="P4" s="29">
        <v>671605.668053873</v>
      </c>
      <c r="Q4" s="29">
        <v>758859.04686479783</v>
      </c>
      <c r="T4" s="54" t="s">
        <v>1466</v>
      </c>
      <c r="U4" s="55"/>
      <c r="V4" s="44">
        <v>211755692</v>
      </c>
    </row>
    <row r="5" spans="1:22" ht="29.4" customHeight="1" thickBot="1">
      <c r="A5" s="15" t="s">
        <v>1371</v>
      </c>
      <c r="B5" s="16">
        <v>4.7</v>
      </c>
      <c r="C5" s="16">
        <v>5.7</v>
      </c>
      <c r="D5" s="16">
        <v>5.8</v>
      </c>
      <c r="G5" s="21">
        <v>4</v>
      </c>
      <c r="H5" s="22" t="s">
        <v>1395</v>
      </c>
      <c r="I5" s="22">
        <v>670.91899999999998</v>
      </c>
      <c r="J5" s="27">
        <f t="shared" si="0"/>
        <v>6.1308396901642345E-2</v>
      </c>
      <c r="M5" s="32" t="s">
        <v>1425</v>
      </c>
      <c r="N5" t="s">
        <v>1390</v>
      </c>
      <c r="O5" s="29">
        <v>544810.46839230182</v>
      </c>
      <c r="P5" s="29">
        <v>576375.54468276678</v>
      </c>
      <c r="Q5" s="29">
        <v>614875.81979585649</v>
      </c>
      <c r="T5" s="54" t="s">
        <v>1467</v>
      </c>
      <c r="U5" s="55"/>
      <c r="V5" s="45">
        <v>18672591</v>
      </c>
    </row>
    <row r="6" spans="1:22" ht="18.600000000000001" thickBot="1">
      <c r="A6" s="17" t="s">
        <v>1372</v>
      </c>
      <c r="B6" s="18">
        <v>0.5</v>
      </c>
      <c r="C6" s="18">
        <v>0.7</v>
      </c>
      <c r="D6" s="18">
        <v>0.7</v>
      </c>
      <c r="G6" s="21">
        <v>5</v>
      </c>
      <c r="H6" s="22" t="s">
        <v>1397</v>
      </c>
      <c r="I6" s="22">
        <v>650.10699999999997</v>
      </c>
      <c r="J6" s="27">
        <f t="shared" si="0"/>
        <v>5.9406601966162827E-2</v>
      </c>
      <c r="M6" s="32" t="s">
        <v>1426</v>
      </c>
      <c r="N6" t="s">
        <v>1397</v>
      </c>
      <c r="O6" s="29">
        <v>408789.52805205254</v>
      </c>
      <c r="P6" s="29">
        <v>423270.04730193398</v>
      </c>
      <c r="Q6" s="29">
        <v>457293.9575870824</v>
      </c>
      <c r="T6" s="47" t="s">
        <v>1372</v>
      </c>
      <c r="U6" s="48"/>
      <c r="V6" s="33">
        <v>1796460</v>
      </c>
    </row>
    <row r="7" spans="1:22" ht="43.8" customHeight="1" thickBot="1">
      <c r="A7" s="17" t="s">
        <v>1373</v>
      </c>
      <c r="B7" s="18">
        <v>0.2</v>
      </c>
      <c r="C7" s="18">
        <v>0.2</v>
      </c>
      <c r="D7" s="18">
        <v>0.2</v>
      </c>
      <c r="G7" s="21">
        <v>6</v>
      </c>
      <c r="H7" s="22" t="s">
        <v>1396</v>
      </c>
      <c r="I7" s="22">
        <v>513.39300000000003</v>
      </c>
      <c r="J7" s="27">
        <f t="shared" si="0"/>
        <v>4.6913713593630335E-2</v>
      </c>
      <c r="M7" s="32" t="s">
        <v>1427</v>
      </c>
      <c r="N7" t="s">
        <v>1395</v>
      </c>
      <c r="O7" s="29">
        <v>401814.16441615147</v>
      </c>
      <c r="P7" s="29">
        <v>421497.8702223397</v>
      </c>
      <c r="Q7" s="29">
        <v>440029.40286189422</v>
      </c>
      <c r="T7" s="47" t="s">
        <v>1373</v>
      </c>
      <c r="U7" s="48"/>
      <c r="V7" s="33">
        <v>894470</v>
      </c>
    </row>
    <row r="8" spans="1:22" ht="18.600000000000001" thickBot="1">
      <c r="A8" s="17" t="s">
        <v>1374</v>
      </c>
      <c r="B8" s="18">
        <v>1.5</v>
      </c>
      <c r="C8" s="18">
        <v>1.4</v>
      </c>
      <c r="D8" s="18">
        <v>1.5</v>
      </c>
      <c r="G8" s="21">
        <v>7</v>
      </c>
      <c r="H8" s="22" t="s">
        <v>1388</v>
      </c>
      <c r="I8" s="22">
        <v>430.988</v>
      </c>
      <c r="J8" s="27">
        <f t="shared" si="0"/>
        <v>3.9383566963888381E-2</v>
      </c>
      <c r="M8" s="32" t="s">
        <v>1428</v>
      </c>
      <c r="N8" t="s">
        <v>1396</v>
      </c>
      <c r="O8" s="29">
        <v>256754.66852956743</v>
      </c>
      <c r="P8" s="29">
        <v>277270.23658296093</v>
      </c>
      <c r="Q8" s="29">
        <v>298227.09004340164</v>
      </c>
      <c r="T8" s="47" t="s">
        <v>1374</v>
      </c>
      <c r="U8" s="48"/>
      <c r="V8" s="33">
        <v>4207714</v>
      </c>
    </row>
    <row r="9" spans="1:22" ht="18.600000000000001" customHeight="1" thickBot="1">
      <c r="A9" s="17" t="s">
        <v>1375</v>
      </c>
      <c r="B9" s="18">
        <v>0.2</v>
      </c>
      <c r="C9" s="18">
        <v>0.2</v>
      </c>
      <c r="D9" s="18">
        <v>0.2</v>
      </c>
      <c r="G9" s="21">
        <v>8</v>
      </c>
      <c r="H9" s="22" t="s">
        <v>1405</v>
      </c>
      <c r="I9" s="22">
        <v>365.66899999999998</v>
      </c>
      <c r="J9" s="27">
        <f t="shared" si="0"/>
        <v>3.3414734396591324E-2</v>
      </c>
      <c r="M9" s="32" t="s">
        <v>1421</v>
      </c>
      <c r="N9" t="s">
        <v>1388</v>
      </c>
      <c r="O9" s="29">
        <v>258738.9702612125</v>
      </c>
      <c r="P9" s="29">
        <v>268724.09022701776</v>
      </c>
      <c r="Q9" s="29">
        <v>286239.54111111176</v>
      </c>
      <c r="T9" s="47" t="s">
        <v>1375</v>
      </c>
      <c r="U9" s="48"/>
      <c r="V9" s="33">
        <v>631181</v>
      </c>
    </row>
    <row r="10" spans="1:22" ht="18.600000000000001" thickBot="1">
      <c r="A10" s="17" t="s">
        <v>1376</v>
      </c>
      <c r="B10" s="18">
        <v>1.8</v>
      </c>
      <c r="C10" s="18">
        <v>2.2999999999999998</v>
      </c>
      <c r="D10" s="18">
        <v>2.2999999999999998</v>
      </c>
      <c r="G10" s="21">
        <v>9</v>
      </c>
      <c r="H10" s="22" t="s">
        <v>1401</v>
      </c>
      <c r="I10" s="22">
        <v>336.74700000000001</v>
      </c>
      <c r="J10" s="27">
        <f t="shared" si="0"/>
        <v>3.0771849852869505E-2</v>
      </c>
      <c r="M10" s="32" t="s">
        <v>1429</v>
      </c>
      <c r="N10" t="s">
        <v>1405</v>
      </c>
      <c r="O10" s="29">
        <v>235540.04481066388</v>
      </c>
      <c r="P10" s="29">
        <v>244722.24933729914</v>
      </c>
      <c r="Q10" s="29">
        <v>254817.20469239433</v>
      </c>
      <c r="T10" s="47" t="s">
        <v>1376</v>
      </c>
      <c r="U10" s="48"/>
      <c r="V10" s="33">
        <v>8690745</v>
      </c>
    </row>
    <row r="11" spans="1:22" ht="18.600000000000001" thickBot="1">
      <c r="A11" s="17" t="s">
        <v>1377</v>
      </c>
      <c r="B11" s="18">
        <v>0.2</v>
      </c>
      <c r="C11" s="18">
        <v>0.2</v>
      </c>
      <c r="D11" s="18">
        <v>0.3</v>
      </c>
      <c r="G11" s="21">
        <v>10</v>
      </c>
      <c r="H11" s="22" t="s">
        <v>1406</v>
      </c>
      <c r="I11" s="22">
        <v>273.00900000000001</v>
      </c>
      <c r="J11" s="27">
        <f t="shared" si="0"/>
        <v>2.4947488638301308E-2</v>
      </c>
      <c r="M11" s="32" t="s">
        <v>1422</v>
      </c>
      <c r="N11" t="s">
        <v>1401</v>
      </c>
      <c r="O11" s="29">
        <v>181759.60353677449</v>
      </c>
      <c r="P11" s="29">
        <v>191948.30104892678</v>
      </c>
      <c r="Q11" s="29">
        <v>195681.72398301063</v>
      </c>
      <c r="T11" s="47" t="s">
        <v>1377</v>
      </c>
      <c r="U11" s="48"/>
      <c r="V11" s="33">
        <v>861773</v>
      </c>
    </row>
    <row r="12" spans="1:22" ht="18.600000000000001" thickBot="1">
      <c r="A12" s="17" t="s">
        <v>1378</v>
      </c>
      <c r="B12" s="18">
        <v>0.4</v>
      </c>
      <c r="C12" s="18">
        <v>0.6</v>
      </c>
      <c r="D12" s="18">
        <v>0.6</v>
      </c>
      <c r="G12" s="21">
        <v>11</v>
      </c>
      <c r="H12" s="22" t="s">
        <v>1385</v>
      </c>
      <c r="I12" s="22">
        <v>270.47500000000002</v>
      </c>
      <c r="J12" s="27">
        <f t="shared" si="0"/>
        <v>2.4715932403124245E-2</v>
      </c>
      <c r="M12" s="32" t="s">
        <v>1430</v>
      </c>
      <c r="N12" t="s">
        <v>1385</v>
      </c>
      <c r="O12" s="29">
        <v>167345.03124544537</v>
      </c>
      <c r="P12" s="29">
        <v>181609.50084217312</v>
      </c>
      <c r="Q12" s="29">
        <v>186351.97524936029</v>
      </c>
      <c r="T12" s="47" t="s">
        <v>1378</v>
      </c>
      <c r="U12" s="48"/>
      <c r="V12" s="33">
        <v>1590248</v>
      </c>
    </row>
    <row r="13" spans="1:22" ht="18.600000000000001" customHeight="1" thickBot="1">
      <c r="A13" s="15" t="s">
        <v>1379</v>
      </c>
      <c r="B13" s="16">
        <v>13.1</v>
      </c>
      <c r="C13" s="16">
        <v>13.8</v>
      </c>
      <c r="D13" s="16">
        <v>13.8</v>
      </c>
      <c r="G13" s="21">
        <v>12</v>
      </c>
      <c r="H13" s="22" t="s">
        <v>1376</v>
      </c>
      <c r="I13" s="22">
        <v>254.547</v>
      </c>
      <c r="J13" s="27">
        <f t="shared" si="0"/>
        <v>2.3260436067725543E-2</v>
      </c>
      <c r="M13" s="32" t="s">
        <v>1431</v>
      </c>
      <c r="N13" t="s">
        <v>1376</v>
      </c>
      <c r="O13" s="29">
        <v>138107.51425238128</v>
      </c>
      <c r="P13" s="29">
        <v>155232.4037999197</v>
      </c>
      <c r="Q13" s="29">
        <v>161349.60204707587</v>
      </c>
      <c r="T13" s="54" t="s">
        <v>1453</v>
      </c>
      <c r="U13" s="55"/>
      <c r="V13" s="45">
        <v>57374243</v>
      </c>
    </row>
    <row r="14" spans="1:22" ht="29.4" customHeight="1" thickBot="1">
      <c r="A14" s="17" t="s">
        <v>1380</v>
      </c>
      <c r="B14" s="18">
        <v>1.1000000000000001</v>
      </c>
      <c r="C14" s="18">
        <v>1.4</v>
      </c>
      <c r="D14" s="18">
        <v>1.4</v>
      </c>
      <c r="G14" s="21">
        <v>13</v>
      </c>
      <c r="H14" s="22" t="s">
        <v>1382</v>
      </c>
      <c r="I14" s="22">
        <v>232.239</v>
      </c>
      <c r="J14" s="27">
        <f t="shared" si="0"/>
        <v>2.1221937056545598E-2</v>
      </c>
      <c r="M14" s="32" t="s">
        <v>1432</v>
      </c>
      <c r="N14" t="s">
        <v>1382</v>
      </c>
      <c r="O14" s="29">
        <v>138422.52065973141</v>
      </c>
      <c r="P14" s="29">
        <v>147921.5339832271</v>
      </c>
      <c r="Q14" s="29">
        <v>155903.82475452329</v>
      </c>
      <c r="T14" s="47" t="s">
        <v>1380</v>
      </c>
      <c r="U14" s="48"/>
      <c r="V14" s="33">
        <v>7114598</v>
      </c>
    </row>
    <row r="15" spans="1:22" ht="29.4" customHeight="1" thickBot="1">
      <c r="A15" s="17" t="s">
        <v>1381</v>
      </c>
      <c r="B15" s="18">
        <v>0.5</v>
      </c>
      <c r="C15" s="18">
        <v>0.7</v>
      </c>
      <c r="D15" s="18">
        <v>0.7</v>
      </c>
      <c r="G15" s="21">
        <v>14</v>
      </c>
      <c r="H15" s="22" t="s">
        <v>1391</v>
      </c>
      <c r="I15" s="22">
        <v>209.83</v>
      </c>
      <c r="J15" s="27">
        <f t="shared" si="0"/>
        <v>1.9174208692661281E-2</v>
      </c>
      <c r="M15" s="32" t="s">
        <v>1433</v>
      </c>
      <c r="N15" t="s">
        <v>1406</v>
      </c>
      <c r="O15" s="29">
        <v>123880.2955554511</v>
      </c>
      <c r="P15" s="29">
        <v>126845.89779122619</v>
      </c>
      <c r="Q15" s="29">
        <v>137442.852833963</v>
      </c>
      <c r="T15" s="47" t="s">
        <v>1381</v>
      </c>
      <c r="U15" s="48"/>
      <c r="V15" s="34" t="s">
        <v>1454</v>
      </c>
    </row>
    <row r="16" spans="1:22" ht="18.600000000000001" thickBot="1">
      <c r="A16" s="17" t="s">
        <v>1382</v>
      </c>
      <c r="B16" s="18">
        <v>1.9</v>
      </c>
      <c r="C16" s="18">
        <v>2.1</v>
      </c>
      <c r="D16" s="18">
        <v>2.1</v>
      </c>
      <c r="G16" s="21">
        <v>15</v>
      </c>
      <c r="H16" s="22" t="s">
        <v>1399</v>
      </c>
      <c r="I16" s="22">
        <v>184.40199999999999</v>
      </c>
      <c r="J16" s="27">
        <f t="shared" si="0"/>
        <v>1.6850604924672951E-2</v>
      </c>
      <c r="M16" s="32" t="s">
        <v>1434</v>
      </c>
      <c r="N16" t="s">
        <v>1391</v>
      </c>
      <c r="O16" s="29">
        <v>109264.42309478013</v>
      </c>
      <c r="P16" s="29">
        <v>113399.93679153564</v>
      </c>
      <c r="Q16" s="29">
        <v>137020.05487388949</v>
      </c>
      <c r="T16" s="47" t="s">
        <v>1382</v>
      </c>
      <c r="U16" s="48"/>
      <c r="V16" s="34" t="s">
        <v>1455</v>
      </c>
    </row>
    <row r="17" spans="1:22" ht="21" thickBot="1">
      <c r="A17" s="17" t="s">
        <v>1383</v>
      </c>
      <c r="B17" s="18">
        <v>0.9</v>
      </c>
      <c r="C17" s="18">
        <v>0.9</v>
      </c>
      <c r="D17" s="18">
        <v>0.9</v>
      </c>
      <c r="G17" s="21">
        <v>16</v>
      </c>
      <c r="H17" s="22" t="s">
        <v>1374</v>
      </c>
      <c r="I17" s="22">
        <v>161.79499999999999</v>
      </c>
      <c r="J17" s="27">
        <f t="shared" si="0"/>
        <v>1.4784783374298869E-2</v>
      </c>
      <c r="M17" s="32" t="s">
        <v>1435</v>
      </c>
      <c r="N17" t="s">
        <v>1399</v>
      </c>
      <c r="O17" s="29">
        <v>91892.28516141107</v>
      </c>
      <c r="P17" s="29">
        <v>96396.433755871898</v>
      </c>
      <c r="Q17" s="29">
        <v>106969.1416952819</v>
      </c>
      <c r="T17" s="47" t="s">
        <v>1383</v>
      </c>
      <c r="U17" s="48"/>
      <c r="V17" s="33">
        <v>3534165</v>
      </c>
    </row>
    <row r="18" spans="1:22" ht="18.600000000000001" thickBot="1">
      <c r="A18" s="17" t="s">
        <v>1384</v>
      </c>
      <c r="B18" s="18">
        <v>0.9</v>
      </c>
      <c r="C18" s="18">
        <v>0.9</v>
      </c>
      <c r="D18" s="18">
        <v>0.9</v>
      </c>
      <c r="G18" s="21">
        <v>17</v>
      </c>
      <c r="H18" s="22" t="s">
        <v>1380</v>
      </c>
      <c r="I18" s="22">
        <v>149.227</v>
      </c>
      <c r="J18" s="27">
        <f t="shared" si="0"/>
        <v>1.3636322930847662E-2</v>
      </c>
      <c r="M18" s="32" t="s">
        <v>1436</v>
      </c>
      <c r="N18" t="s">
        <v>1374</v>
      </c>
      <c r="O18" s="29">
        <v>89039.781990685558</v>
      </c>
      <c r="P18" s="29">
        <v>93240.190920268244</v>
      </c>
      <c r="Q18" s="29">
        <v>100109.23506773147</v>
      </c>
      <c r="T18" s="47" t="s">
        <v>1384</v>
      </c>
      <c r="U18" s="48"/>
      <c r="V18" s="33">
        <v>4039277</v>
      </c>
    </row>
    <row r="19" spans="1:22" ht="29.4" customHeight="1" thickBot="1">
      <c r="A19" s="17" t="s">
        <v>1385</v>
      </c>
      <c r="B19" s="18">
        <v>2.4</v>
      </c>
      <c r="C19" s="18">
        <v>2.4</v>
      </c>
      <c r="D19" s="18">
        <v>2.5</v>
      </c>
      <c r="G19" s="21">
        <v>18</v>
      </c>
      <c r="H19" s="22" t="s">
        <v>1383</v>
      </c>
      <c r="I19" s="22">
        <v>101.74</v>
      </c>
      <c r="J19" s="27">
        <f t="shared" si="0"/>
        <v>9.2969737043862109E-3</v>
      </c>
      <c r="M19" s="32" t="s">
        <v>1437</v>
      </c>
      <c r="N19" t="s">
        <v>1380</v>
      </c>
      <c r="O19" s="29">
        <v>85310.03813654132</v>
      </c>
      <c r="P19" s="29">
        <v>89542.757302491838</v>
      </c>
      <c r="Q19" s="29">
        <v>98179.495652009384</v>
      </c>
      <c r="T19" s="47" t="s">
        <v>1385</v>
      </c>
      <c r="U19" s="48"/>
      <c r="V19" s="34" t="s">
        <v>1456</v>
      </c>
    </row>
    <row r="20" spans="1:22" ht="18.600000000000001" thickBot="1">
      <c r="A20" s="17" t="s">
        <v>1386</v>
      </c>
      <c r="B20" s="18">
        <v>0.8</v>
      </c>
      <c r="C20" s="18">
        <v>0.8</v>
      </c>
      <c r="D20" s="18">
        <v>0.8</v>
      </c>
      <c r="G20" s="21">
        <v>19</v>
      </c>
      <c r="H20" s="22" t="s">
        <v>1384</v>
      </c>
      <c r="I20" s="22">
        <v>96.962999999999994</v>
      </c>
      <c r="J20" s="27">
        <f t="shared" si="0"/>
        <v>8.8604527353882447E-3</v>
      </c>
      <c r="M20" s="32" t="s">
        <v>1438</v>
      </c>
      <c r="N20" t="s">
        <v>1383</v>
      </c>
      <c r="O20" s="29">
        <v>59677.388850844123</v>
      </c>
      <c r="P20" s="29">
        <v>64305.995055173407</v>
      </c>
      <c r="Q20" s="29">
        <v>66969.562001786049</v>
      </c>
      <c r="T20" s="47" t="s">
        <v>1386</v>
      </c>
      <c r="U20" s="48"/>
      <c r="V20" s="34" t="s">
        <v>1457</v>
      </c>
    </row>
    <row r="21" spans="1:22" ht="18.600000000000001" thickBot="1">
      <c r="A21" s="17" t="s">
        <v>1387</v>
      </c>
      <c r="B21" s="18">
        <v>0.7</v>
      </c>
      <c r="C21" s="18">
        <v>0.6</v>
      </c>
      <c r="D21" s="18">
        <v>0.6</v>
      </c>
      <c r="G21" s="21">
        <v>20</v>
      </c>
      <c r="H21" s="22" t="s">
        <v>1386</v>
      </c>
      <c r="I21" s="22">
        <v>89.688999999999993</v>
      </c>
      <c r="J21" s="27">
        <f t="shared" si="0"/>
        <v>8.1957565812138273E-3</v>
      </c>
      <c r="M21" s="32" t="s">
        <v>1439</v>
      </c>
      <c r="N21" t="s">
        <v>1384</v>
      </c>
      <c r="O21" s="29">
        <v>59104.781392735509</v>
      </c>
      <c r="P21" s="29">
        <v>62396.775524878802</v>
      </c>
      <c r="Q21" s="29">
        <v>64373.595375708719</v>
      </c>
      <c r="T21" s="47" t="s">
        <v>1387</v>
      </c>
      <c r="U21" s="48"/>
      <c r="V21" s="34" t="s">
        <v>1458</v>
      </c>
    </row>
    <row r="22" spans="1:22" ht="43.8" customHeight="1" thickBot="1">
      <c r="A22" s="17" t="s">
        <v>1388</v>
      </c>
      <c r="B22" s="18">
        <v>4</v>
      </c>
      <c r="C22" s="18">
        <v>4</v>
      </c>
      <c r="D22" s="18">
        <v>3.9</v>
      </c>
      <c r="G22" s="21">
        <v>21</v>
      </c>
      <c r="H22" s="22" t="s">
        <v>1381</v>
      </c>
      <c r="I22" s="22">
        <v>80.917000000000002</v>
      </c>
      <c r="J22" s="27">
        <f t="shared" si="0"/>
        <v>7.3941735918794868E-3</v>
      </c>
      <c r="M22" s="32" t="s">
        <v>1440</v>
      </c>
      <c r="N22" t="s">
        <v>1386</v>
      </c>
      <c r="O22" s="29">
        <v>49468.740908663145</v>
      </c>
      <c r="P22" s="29">
        <v>52851.066935945499</v>
      </c>
      <c r="Q22" s="29">
        <v>54413.046662401292</v>
      </c>
      <c r="T22" s="47" t="s">
        <v>1388</v>
      </c>
      <c r="U22" s="48"/>
      <c r="V22" s="34" t="s">
        <v>1459</v>
      </c>
    </row>
    <row r="23" spans="1:22" ht="18.600000000000001" thickBot="1">
      <c r="A23" s="15" t="s">
        <v>1389</v>
      </c>
      <c r="B23" s="16">
        <v>57.4</v>
      </c>
      <c r="C23" s="16">
        <v>53.3</v>
      </c>
      <c r="D23" s="16">
        <v>53</v>
      </c>
      <c r="G23" s="21">
        <v>22</v>
      </c>
      <c r="H23" s="22" t="s">
        <v>1372</v>
      </c>
      <c r="I23" s="22">
        <v>76.456000000000003</v>
      </c>
      <c r="J23" s="27">
        <f t="shared" si="0"/>
        <v>6.9865286174813461E-3</v>
      </c>
      <c r="M23" s="32" t="s">
        <v>1441</v>
      </c>
      <c r="N23" t="s">
        <v>1381</v>
      </c>
      <c r="O23" s="29">
        <v>41416.936733528681</v>
      </c>
      <c r="P23" s="29">
        <v>45365.541024029102</v>
      </c>
      <c r="Q23" s="29">
        <v>50378.417549896272</v>
      </c>
      <c r="T23" s="54" t="s">
        <v>1415</v>
      </c>
      <c r="U23" s="55"/>
      <c r="V23" s="45">
        <v>89012240</v>
      </c>
    </row>
    <row r="24" spans="1:22" ht="21" thickBot="1">
      <c r="A24" s="17" t="s">
        <v>1390</v>
      </c>
      <c r="B24" s="18">
        <v>8.3000000000000007</v>
      </c>
      <c r="C24" s="18">
        <v>9</v>
      </c>
      <c r="D24" s="18">
        <v>8.9</v>
      </c>
      <c r="G24" s="21">
        <v>23</v>
      </c>
      <c r="H24" s="22" t="s">
        <v>1378</v>
      </c>
      <c r="I24" s="22">
        <v>64.317999999999998</v>
      </c>
      <c r="J24" s="27">
        <f t="shared" si="0"/>
        <v>5.8773614578210365E-3</v>
      </c>
      <c r="M24" s="32" t="s">
        <v>1442</v>
      </c>
      <c r="N24" t="s">
        <v>1372</v>
      </c>
      <c r="O24" s="29">
        <v>39460.358977973854</v>
      </c>
      <c r="P24" s="29">
        <v>43516.147490021147</v>
      </c>
      <c r="Q24" s="29">
        <v>44913.978486363187</v>
      </c>
      <c r="T24" s="47" t="s">
        <v>1390</v>
      </c>
      <c r="U24" s="48"/>
      <c r="V24" s="33">
        <v>21292666</v>
      </c>
    </row>
    <row r="25" spans="1:22" ht="21" thickBot="1">
      <c r="A25" s="17" t="s">
        <v>1391</v>
      </c>
      <c r="B25" s="18">
        <v>1.8</v>
      </c>
      <c r="C25" s="18">
        <v>1.8</v>
      </c>
      <c r="D25" s="18">
        <v>1.9</v>
      </c>
      <c r="G25" s="21">
        <v>24</v>
      </c>
      <c r="H25" s="22" t="s">
        <v>1387</v>
      </c>
      <c r="I25" s="22">
        <v>60.817</v>
      </c>
      <c r="J25" s="27">
        <f t="shared" si="0"/>
        <v>5.5574410239793218E-3</v>
      </c>
      <c r="M25" s="32" t="s">
        <v>1443</v>
      </c>
      <c r="N25" t="s">
        <v>1387</v>
      </c>
      <c r="O25" s="29">
        <v>38877.438483268583</v>
      </c>
      <c r="P25" s="29">
        <v>40711.486163063353</v>
      </c>
      <c r="Q25" s="29">
        <v>42017.981277964303</v>
      </c>
      <c r="T25" s="47" t="s">
        <v>1391</v>
      </c>
      <c r="U25" s="48"/>
      <c r="V25" s="33">
        <v>4064052</v>
      </c>
    </row>
    <row r="26" spans="1:22" ht="21" customHeight="1" thickBot="1">
      <c r="A26" s="17" t="s">
        <v>1392</v>
      </c>
      <c r="B26" s="18">
        <v>12.4</v>
      </c>
      <c r="C26" s="18">
        <v>11.4</v>
      </c>
      <c r="D26" s="18">
        <v>10.7</v>
      </c>
      <c r="G26" s="21">
        <v>25</v>
      </c>
      <c r="H26" s="22" t="s">
        <v>1377</v>
      </c>
      <c r="I26" s="22">
        <v>28.02</v>
      </c>
      <c r="J26" s="27">
        <f t="shared" si="0"/>
        <v>2.5604600274906782E-3</v>
      </c>
      <c r="M26" s="32" t="s">
        <v>1444</v>
      </c>
      <c r="N26" t="s">
        <v>1378</v>
      </c>
      <c r="O26" s="29">
        <v>31584.816194581948</v>
      </c>
      <c r="P26" s="29">
        <v>34108.131986952358</v>
      </c>
      <c r="Q26" s="29">
        <v>35666.183074917848</v>
      </c>
      <c r="T26" s="47" t="s">
        <v>1392</v>
      </c>
      <c r="U26" s="48"/>
      <c r="V26" s="33">
        <v>17366189</v>
      </c>
    </row>
    <row r="27" spans="1:22" ht="18.600000000000001" customHeight="1" thickBot="1">
      <c r="A27" s="17" t="s">
        <v>1393</v>
      </c>
      <c r="B27" s="18">
        <v>34.9</v>
      </c>
      <c r="C27" s="18">
        <v>31.1</v>
      </c>
      <c r="D27" s="18">
        <v>31.5</v>
      </c>
      <c r="G27" s="21">
        <v>26</v>
      </c>
      <c r="H27" s="22" t="s">
        <v>1373</v>
      </c>
      <c r="I27" s="22">
        <v>26.291</v>
      </c>
      <c r="J27" s="27">
        <f t="shared" si="0"/>
        <v>2.4024644747593659E-3</v>
      </c>
      <c r="M27" s="32" t="s">
        <v>1445</v>
      </c>
      <c r="N27" t="s">
        <v>1377</v>
      </c>
      <c r="O27" s="29">
        <v>14342.135081735614</v>
      </c>
      <c r="P27" s="29">
        <v>15481.908324910746</v>
      </c>
      <c r="Q27" s="29">
        <v>16795.206666739672</v>
      </c>
      <c r="T27" s="47" t="s">
        <v>1393</v>
      </c>
      <c r="U27" s="48"/>
      <c r="V27" s="33">
        <v>46289333</v>
      </c>
    </row>
    <row r="28" spans="1:22" ht="18.600000000000001" customHeight="1" thickBot="1">
      <c r="A28" s="15" t="s">
        <v>1394</v>
      </c>
      <c r="B28" s="16">
        <v>16.2</v>
      </c>
      <c r="C28" s="16">
        <v>16.600000000000001</v>
      </c>
      <c r="D28" s="16">
        <v>16.8</v>
      </c>
      <c r="G28" s="21">
        <v>27</v>
      </c>
      <c r="H28" s="22" t="s">
        <v>1375</v>
      </c>
      <c r="I28" s="22">
        <v>25.125</v>
      </c>
      <c r="J28" s="27">
        <f t="shared" si="0"/>
        <v>2.2959157098752067E-3</v>
      </c>
      <c r="M28" s="32" t="s">
        <v>1446</v>
      </c>
      <c r="N28" t="s">
        <v>1373</v>
      </c>
      <c r="O28" s="29">
        <v>13754.239978511574</v>
      </c>
      <c r="P28" s="29">
        <v>14272.940593128029</v>
      </c>
      <c r="Q28" s="29">
        <v>15331.122589735774</v>
      </c>
      <c r="T28" s="54" t="s">
        <v>1416</v>
      </c>
      <c r="U28" s="55"/>
      <c r="V28" s="45">
        <v>30192315</v>
      </c>
    </row>
    <row r="29" spans="1:22" ht="18.600000000000001" customHeight="1" thickBot="1">
      <c r="A29" s="17" t="s">
        <v>1395</v>
      </c>
      <c r="B29" s="18">
        <v>5.9</v>
      </c>
      <c r="C29" s="18">
        <v>6.1</v>
      </c>
      <c r="D29" s="18">
        <v>6.1</v>
      </c>
      <c r="J29" s="26"/>
      <c r="M29" s="32" t="s">
        <v>1447</v>
      </c>
      <c r="N29" t="s">
        <v>1375</v>
      </c>
      <c r="O29" s="29">
        <v>11013.237212267057</v>
      </c>
      <c r="P29" s="29">
        <v>12104.70914653834</v>
      </c>
      <c r="Q29" s="29">
        <v>13369.987723397709</v>
      </c>
      <c r="T29" s="47" t="s">
        <v>1395</v>
      </c>
      <c r="U29" s="48"/>
      <c r="V29" s="33">
        <v>11516840</v>
      </c>
    </row>
    <row r="30" spans="1:22" ht="21" thickBot="1">
      <c r="A30" s="17" t="s">
        <v>1396</v>
      </c>
      <c r="B30" s="18">
        <v>3.7</v>
      </c>
      <c r="C30" s="18">
        <v>4.5999999999999996</v>
      </c>
      <c r="D30" s="18">
        <v>4.7</v>
      </c>
      <c r="J30" s="26"/>
      <c r="T30" s="47" t="s">
        <v>1396</v>
      </c>
      <c r="U30" s="48"/>
      <c r="V30" s="33">
        <v>7252502</v>
      </c>
    </row>
    <row r="31" spans="1:22" ht="21" thickBot="1">
      <c r="A31" s="17" t="s">
        <v>1397</v>
      </c>
      <c r="B31" s="18">
        <v>6.6</v>
      </c>
      <c r="C31" s="18">
        <v>5.9</v>
      </c>
      <c r="D31" s="18">
        <v>5.9</v>
      </c>
      <c r="J31" s="26"/>
      <c r="T31" s="47" t="s">
        <v>1397</v>
      </c>
      <c r="U31" s="48"/>
      <c r="V31" s="33">
        <v>11422973</v>
      </c>
    </row>
    <row r="32" spans="1:22" ht="21" customHeight="1" thickBot="1">
      <c r="A32" s="15" t="s">
        <v>1398</v>
      </c>
      <c r="B32" s="16">
        <v>8.6</v>
      </c>
      <c r="C32" s="16">
        <v>10.6</v>
      </c>
      <c r="D32" s="16">
        <v>10.6</v>
      </c>
      <c r="J32" s="26"/>
      <c r="T32" s="54" t="s">
        <v>1417</v>
      </c>
      <c r="U32" s="55"/>
      <c r="V32" s="45">
        <v>16504303</v>
      </c>
    </row>
    <row r="33" spans="1:22" ht="31.2" thickBot="1">
      <c r="A33" s="17" t="s">
        <v>1399</v>
      </c>
      <c r="B33" s="18">
        <v>1.1000000000000001</v>
      </c>
      <c r="C33" s="18">
        <v>1.7</v>
      </c>
      <c r="D33" s="18">
        <v>1.7</v>
      </c>
      <c r="J33" s="26"/>
      <c r="T33" s="47" t="s">
        <v>1399</v>
      </c>
      <c r="U33" s="48"/>
      <c r="V33" s="33">
        <v>2809394</v>
      </c>
    </row>
    <row r="34" spans="1:22" ht="21" thickBot="1">
      <c r="A34" s="17" t="s">
        <v>1400</v>
      </c>
      <c r="B34" s="18">
        <v>1.3</v>
      </c>
      <c r="C34" s="18">
        <v>2.5</v>
      </c>
      <c r="D34" s="18">
        <v>2.5</v>
      </c>
      <c r="J34" s="26"/>
      <c r="T34" s="47" t="s">
        <v>1406</v>
      </c>
      <c r="U34" s="48"/>
      <c r="V34" s="33">
        <v>3526220</v>
      </c>
    </row>
    <row r="35" spans="1:22" ht="17.399999999999999" thickBot="1">
      <c r="A35" s="17" t="s">
        <v>1401</v>
      </c>
      <c r="B35" s="18">
        <v>2.6</v>
      </c>
      <c r="C35" s="18">
        <v>3.2</v>
      </c>
      <c r="D35" s="18">
        <v>3.1</v>
      </c>
      <c r="J35" s="26"/>
      <c r="T35" s="47" t="s">
        <v>1401</v>
      </c>
      <c r="U35" s="48"/>
      <c r="V35" s="34" t="s">
        <v>1460</v>
      </c>
    </row>
    <row r="36" spans="1:22" ht="21" thickBot="1">
      <c r="A36" s="17" t="s">
        <v>1402</v>
      </c>
      <c r="B36" s="18">
        <v>3.6</v>
      </c>
      <c r="C36" s="18">
        <v>3.3</v>
      </c>
      <c r="D36" s="18">
        <v>3.3</v>
      </c>
      <c r="J36" s="26"/>
      <c r="T36" s="47" t="s">
        <v>1405</v>
      </c>
      <c r="U36" s="48"/>
      <c r="V36" s="34" t="s">
        <v>1461</v>
      </c>
    </row>
    <row r="43" spans="1:22">
      <c r="B43" s="47" t="s">
        <v>1372</v>
      </c>
      <c r="C43" s="48"/>
      <c r="D43" s="33">
        <v>1796460</v>
      </c>
    </row>
    <row r="44" spans="1:22">
      <c r="B44" s="47" t="s">
        <v>1373</v>
      </c>
      <c r="C44" s="48"/>
      <c r="D44" s="33">
        <v>894470</v>
      </c>
    </row>
    <row r="45" spans="1:22">
      <c r="B45" s="47" t="s">
        <v>1374</v>
      </c>
      <c r="C45" s="48"/>
      <c r="D45" s="33">
        <v>4207714</v>
      </c>
    </row>
    <row r="46" spans="1:22">
      <c r="B46" s="47" t="s">
        <v>1375</v>
      </c>
      <c r="C46" s="48"/>
      <c r="D46" s="33">
        <v>631181</v>
      </c>
    </row>
    <row r="47" spans="1:22">
      <c r="B47" s="47" t="s">
        <v>1376</v>
      </c>
      <c r="C47" s="48"/>
      <c r="D47" s="33">
        <v>8690745</v>
      </c>
    </row>
    <row r="48" spans="1:22">
      <c r="B48" s="47" t="s">
        <v>1377</v>
      </c>
      <c r="C48" s="48"/>
      <c r="D48" s="33">
        <v>861773</v>
      </c>
    </row>
    <row r="49" spans="2:4">
      <c r="B49" s="47" t="s">
        <v>1378</v>
      </c>
      <c r="C49" s="48"/>
      <c r="D49" s="33">
        <v>1590248</v>
      </c>
    </row>
    <row r="50" spans="2:4">
      <c r="B50" s="47" t="s">
        <v>1380</v>
      </c>
      <c r="C50" s="48"/>
      <c r="D50" s="33">
        <v>7114598</v>
      </c>
    </row>
    <row r="51" spans="2:4" ht="16.2">
      <c r="B51" s="47" t="s">
        <v>1381</v>
      </c>
      <c r="C51" s="48"/>
      <c r="D51" s="34" t="s">
        <v>1454</v>
      </c>
    </row>
    <row r="52" spans="2:4" ht="16.2">
      <c r="B52" s="47" t="s">
        <v>1382</v>
      </c>
      <c r="C52" s="48"/>
      <c r="D52" s="34" t="s">
        <v>1455</v>
      </c>
    </row>
    <row r="53" spans="2:4">
      <c r="B53" s="47" t="s">
        <v>1383</v>
      </c>
      <c r="C53" s="48"/>
      <c r="D53" s="33">
        <v>3534165</v>
      </c>
    </row>
    <row r="54" spans="2:4">
      <c r="B54" s="47" t="s">
        <v>1384</v>
      </c>
      <c r="C54" s="48"/>
      <c r="D54" s="33">
        <v>4039277</v>
      </c>
    </row>
    <row r="55" spans="2:4" ht="16.2">
      <c r="B55" s="47" t="s">
        <v>1385</v>
      </c>
      <c r="C55" s="48"/>
      <c r="D55" s="34" t="s">
        <v>1456</v>
      </c>
    </row>
    <row r="56" spans="2:4" ht="16.2">
      <c r="B56" s="47" t="s">
        <v>1386</v>
      </c>
      <c r="C56" s="48"/>
      <c r="D56" s="34" t="s">
        <v>1457</v>
      </c>
    </row>
    <row r="57" spans="2:4" ht="16.2">
      <c r="B57" s="47" t="s">
        <v>1387</v>
      </c>
      <c r="C57" s="48"/>
      <c r="D57" s="34" t="s">
        <v>1458</v>
      </c>
    </row>
    <row r="58" spans="2:4" ht="16.2">
      <c r="B58" s="47" t="s">
        <v>1388</v>
      </c>
      <c r="C58" s="48"/>
      <c r="D58" s="34" t="s">
        <v>1459</v>
      </c>
    </row>
    <row r="59" spans="2:4">
      <c r="B59" s="47" t="s">
        <v>1390</v>
      </c>
      <c r="C59" s="48"/>
      <c r="D59" s="33">
        <v>21292666</v>
      </c>
    </row>
    <row r="60" spans="2:4">
      <c r="B60" s="47" t="s">
        <v>1391</v>
      </c>
      <c r="C60" s="48"/>
      <c r="D60" s="33">
        <v>4064052</v>
      </c>
    </row>
    <row r="61" spans="2:4">
      <c r="B61" s="47" t="s">
        <v>1392</v>
      </c>
      <c r="C61" s="48"/>
      <c r="D61" s="33">
        <v>17366189</v>
      </c>
    </row>
    <row r="62" spans="2:4">
      <c r="B62" s="47" t="s">
        <v>1393</v>
      </c>
      <c r="C62" s="48"/>
      <c r="D62" s="33">
        <v>46289333</v>
      </c>
    </row>
    <row r="63" spans="2:4">
      <c r="B63" s="47" t="s">
        <v>1395</v>
      </c>
      <c r="C63" s="48"/>
      <c r="D63" s="33">
        <v>11516840</v>
      </c>
    </row>
    <row r="64" spans="2:4">
      <c r="B64" s="47" t="s">
        <v>1396</v>
      </c>
      <c r="C64" s="48"/>
      <c r="D64" s="33">
        <v>7252502</v>
      </c>
    </row>
    <row r="65" spans="2:4">
      <c r="B65" s="47" t="s">
        <v>1397</v>
      </c>
      <c r="C65" s="48"/>
      <c r="D65" s="33">
        <v>11422973</v>
      </c>
    </row>
    <row r="66" spans="2:4">
      <c r="B66" s="47" t="s">
        <v>1399</v>
      </c>
      <c r="C66" s="48"/>
      <c r="D66" s="33">
        <v>2809394</v>
      </c>
    </row>
    <row r="67" spans="2:4">
      <c r="B67" s="47" t="s">
        <v>1406</v>
      </c>
      <c r="C67" s="48"/>
      <c r="D67" s="33">
        <v>3526220</v>
      </c>
    </row>
    <row r="68" spans="2:4" ht="16.2">
      <c r="B68" s="47" t="s">
        <v>1401</v>
      </c>
      <c r="C68" s="48"/>
      <c r="D68" s="34" t="s">
        <v>1460</v>
      </c>
    </row>
    <row r="69" spans="2:4" ht="16.2">
      <c r="B69" s="47" t="s">
        <v>1405</v>
      </c>
      <c r="C69" s="48"/>
      <c r="D69" s="34" t="s">
        <v>1461</v>
      </c>
    </row>
  </sheetData>
  <autoFilter ref="O2:Q2" xr:uid="{66B9B19E-D35D-4665-B3E2-5DCFBF6B2CCA}">
    <sortState xmlns:xlrd2="http://schemas.microsoft.com/office/spreadsheetml/2017/richdata2" ref="O3:Q36">
      <sortCondition descending="1" ref="P2"/>
    </sortState>
  </autoFilter>
  <mergeCells count="65">
    <mergeCell ref="A1:D1"/>
    <mergeCell ref="A2:A3"/>
    <mergeCell ref="B2:D2"/>
    <mergeCell ref="T20:U20"/>
    <mergeCell ref="T21:U21"/>
    <mergeCell ref="T22:U22"/>
    <mergeCell ref="T28:U28"/>
    <mergeCell ref="T26:U26"/>
    <mergeCell ref="T27:U27"/>
    <mergeCell ref="T23:U23"/>
    <mergeCell ref="T24:U24"/>
    <mergeCell ref="T25:U25"/>
    <mergeCell ref="B43:C43"/>
    <mergeCell ref="T31:U31"/>
    <mergeCell ref="T32:U32"/>
    <mergeCell ref="T29:U29"/>
    <mergeCell ref="T30:U30"/>
    <mergeCell ref="T33:U33"/>
    <mergeCell ref="T34:U34"/>
    <mergeCell ref="T35:U35"/>
    <mergeCell ref="T36:U36"/>
    <mergeCell ref="B49:C49"/>
    <mergeCell ref="B50:C50"/>
    <mergeCell ref="B51:C51"/>
    <mergeCell ref="B52:C52"/>
    <mergeCell ref="B44:C44"/>
    <mergeCell ref="B45:C45"/>
    <mergeCell ref="B46:C46"/>
    <mergeCell ref="B47:C47"/>
    <mergeCell ref="B48:C48"/>
    <mergeCell ref="B58:C58"/>
    <mergeCell ref="B59:C59"/>
    <mergeCell ref="B60:C60"/>
    <mergeCell ref="B61:C61"/>
    <mergeCell ref="B53:C53"/>
    <mergeCell ref="B54:C54"/>
    <mergeCell ref="B55:C55"/>
    <mergeCell ref="B56:C56"/>
    <mergeCell ref="B57:C57"/>
    <mergeCell ref="B66:C66"/>
    <mergeCell ref="B67:C67"/>
    <mergeCell ref="B68:C68"/>
    <mergeCell ref="B69:C69"/>
    <mergeCell ref="B62:C62"/>
    <mergeCell ref="B63:C63"/>
    <mergeCell ref="B64:C64"/>
    <mergeCell ref="B65:C65"/>
    <mergeCell ref="T2:V2"/>
    <mergeCell ref="T4:U4"/>
    <mergeCell ref="T5:U5"/>
    <mergeCell ref="T6:U6"/>
    <mergeCell ref="T7:U7"/>
    <mergeCell ref="T8:U8"/>
    <mergeCell ref="T3:U3"/>
    <mergeCell ref="T17:U17"/>
    <mergeCell ref="T18:U18"/>
    <mergeCell ref="T19:U19"/>
    <mergeCell ref="T15:U15"/>
    <mergeCell ref="T16:U16"/>
    <mergeCell ref="T13:U13"/>
    <mergeCell ref="T14:U14"/>
    <mergeCell ref="T9:U9"/>
    <mergeCell ref="T10:U10"/>
    <mergeCell ref="T11:U11"/>
    <mergeCell ref="T12:U12"/>
  </mergeCells>
  <hyperlinks>
    <hyperlink ref="L1" r:id="rId1" xr:uid="{42E03652-54C6-4074-B466-4E3CD3EEFCE4}"/>
    <hyperlink ref="F1" r:id="rId2" xr:uid="{D7AFA18F-776B-4AEA-A1ED-9D1ABA47F97B}"/>
    <hyperlink ref="M8" r:id="rId3" tooltip="Santa Catarina (state)" display="https://en.wikipedia.org/wiki/Santa_Catarina_(state)" xr:uid="{9CF55BC4-8CCB-45A9-87F9-EEE49B3F9473}"/>
    <hyperlink ref="M7" r:id="rId4" tooltip="Rio Grande do Sul" display="https://en.wikipedia.org/wiki/Rio_Grande_do_Sul" xr:uid="{EA62C2D9-6B5E-476F-A736-C0962E3FFB97}"/>
    <hyperlink ref="M6" r:id="rId5" tooltip="Paraná (state)" display="https://en.wikipedia.org/wiki/Paran%C3%A1_(state)" xr:uid="{C1F5AEC9-6A7C-4667-8A59-CE61DD561165}"/>
    <hyperlink ref="M5" r:id="rId6" tooltip="Minas Gerais" display="https://en.wikipedia.org/wiki/Minas_Gerais" xr:uid="{17287176-B8EC-43D4-B8C0-F8404D61519A}"/>
    <hyperlink ref="M4" r:id="rId7" tooltip="Rio de Janeiro (state)" display="https://en.wikipedia.org/wiki/Rio_de_Janeiro_(state)" xr:uid="{F2D319E0-27A8-4E46-B506-CE66703AF905}"/>
    <hyperlink ref="M3" r:id="rId8" tooltip="São Paulo (state)" display="https://en.wikipedia.org/wiki/S%C3%A3o_Paulo_(state)" xr:uid="{14EAA571-3CB1-42E7-BBF1-3E5D15B95348}"/>
    <hyperlink ref="M9" r:id="rId9" tooltip="Bahia" display="https://en.wikipedia.org/wiki/Bahia" xr:uid="{B4BDB212-8615-4358-962C-10FB1B3F434C}"/>
    <hyperlink ref="M29" r:id="rId10" tooltip="Roraima" display="https://en.wikipedia.org/wiki/Roraima" xr:uid="{C4F304AE-D8AC-420D-93F0-7E1288763E42}"/>
    <hyperlink ref="M28" r:id="rId11" tooltip="Acre (state)" display="https://en.wikipedia.org/wiki/Acre_(state)" xr:uid="{4331E6AE-282D-49EA-9AF3-690BE0D8D499}"/>
    <hyperlink ref="M27" r:id="rId12" tooltip="Amapá" display="https://en.wikipedia.org/wiki/Amap%C3%A1" xr:uid="{6D17B050-3D8B-4AD6-98BD-2F49B171C95F}"/>
    <hyperlink ref="M26" r:id="rId13" tooltip="Sergipe" display="https://en.wikipedia.org/wiki/Sergipe" xr:uid="{87B7AEE9-C720-4A6B-BC9E-041D8333B681}"/>
    <hyperlink ref="M25" r:id="rId14" tooltip="Tocantins" display="https://en.wikipedia.org/wiki/Tocantins" xr:uid="{6D9B6147-CD3A-4C56-9650-F2BC7742CA3E}"/>
    <hyperlink ref="M24" r:id="rId15" tooltip="Rondônia" display="https://en.wikipedia.org/wiki/Rond%C3%B4nia" xr:uid="{86A321E4-1BBA-4937-9102-463022E21DDC}"/>
    <hyperlink ref="M23" r:id="rId16" tooltip="Piauí" display="https://en.wikipedia.org/wiki/Piau%C3%AD" xr:uid="{B7C69088-05E2-4B89-8C3E-E74177F401E5}"/>
    <hyperlink ref="M22" r:id="rId17" tooltip="Rio Grande do Norte" display="https://en.wikipedia.org/wiki/Rio_Grande_do_Norte" xr:uid="{71CEBF99-5655-466D-9718-0A809CFDF4E1}"/>
    <hyperlink ref="M21" r:id="rId18" tooltip="Paraíba" display="https://en.wikipedia.org/wiki/Para%C3%ADba" xr:uid="{81521F1E-72F9-4905-A721-AABA282E9B73}"/>
    <hyperlink ref="M20" r:id="rId19" tooltip="Alagoas" display="https://en.wikipedia.org/wiki/Alagoas" xr:uid="{978653E1-59CD-49E7-B422-BEAAF2C01C7B}"/>
    <hyperlink ref="M19" r:id="rId20" tooltip="Maranhão" display="https://en.wikipedia.org/wiki/Maranh%C3%A3o" xr:uid="{DB1F8608-BAFC-4455-B2B7-C5232452EB18}"/>
    <hyperlink ref="M18" r:id="rId21" tooltip="Amazonas (Brazilian state)" display="https://en.wikipedia.org/wiki/Amazonas_(Brazilian_state)" xr:uid="{7FE1A9C3-33DA-4F1E-8A59-7C4D9C1D524B}"/>
    <hyperlink ref="M17" r:id="rId22" tooltip="Mato Grosso do Sul" display="https://en.wikipedia.org/wiki/Mato_Grosso_do_Sul" xr:uid="{9A9B9929-6C6F-4673-9CAA-2CAB24E98929}"/>
    <hyperlink ref="M16" r:id="rId23" tooltip="Ceará" display="https://en.wikipedia.org/wiki/Cear%C3%A1" xr:uid="{BBB62899-F4BC-4779-B25C-AD7D1661FAE9}"/>
    <hyperlink ref="M15" r:id="rId24" tooltip="Espírito Santo" display="https://en.wikipedia.org/wiki/Esp%C3%ADrito_Santo" xr:uid="{81A71DDC-00E4-4100-8B85-640EB2822808}"/>
    <hyperlink ref="M14" r:id="rId25" tooltip="Pernambuco" display="https://en.wikipedia.org/wiki/Pernambuco" xr:uid="{C2CA42A4-C970-453B-80BD-135F6AD98528}"/>
    <hyperlink ref="M13" r:id="rId26" tooltip="Mato Grosso" display="https://en.wikipedia.org/wiki/Mato_Grosso" xr:uid="{7B7ED9D9-8C57-4A51-B441-3555ADBB948A}"/>
    <hyperlink ref="M12" r:id="rId27" tooltip="Pará" display="https://en.wikipedia.org/wiki/Par%C3%A1" xr:uid="{ECAEA98B-DE7D-4F44-B988-85659F847FCD}"/>
    <hyperlink ref="M10" r:id="rId28" tooltip="Federal District (Brazil)" display="https://en.wikipedia.org/wiki/Federal_District_(Brazil)" xr:uid="{D472E957-4537-4180-AA14-9598790C1A5F}"/>
    <hyperlink ref="M11" r:id="rId29" tooltip="Goiás" display="https://en.wikipedia.org/wiki/Goi%C3%A1s" xr:uid="{DDC00F3F-1970-465D-857F-A3EE7498CBBB}"/>
  </hyperlinks>
  <pageMargins left="0.7" right="0.7" top="0.75" bottom="0.75" header="0.3" footer="0.3"/>
  <drawing r:id="rId3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790B-31CB-4BF2-B370-595728169ACA}">
  <dimension ref="A1:K28"/>
  <sheetViews>
    <sheetView topLeftCell="C1" workbookViewId="0">
      <selection activeCell="F22" sqref="F22"/>
    </sheetView>
  </sheetViews>
  <sheetFormatPr defaultRowHeight="14.4"/>
  <cols>
    <col min="1" max="1" width="23.109375" customWidth="1"/>
    <col min="2" max="2" width="17.88671875" customWidth="1"/>
    <col min="3" max="5" width="25" customWidth="1"/>
    <col min="6" max="6" width="20.44140625" customWidth="1"/>
    <col min="7" max="7" width="13.5546875" customWidth="1"/>
    <col min="8" max="8" width="21.5546875" customWidth="1"/>
    <col min="9" max="9" width="12.6640625" bestFit="1" customWidth="1"/>
    <col min="11" max="11" width="10.109375" bestFit="1" customWidth="1"/>
  </cols>
  <sheetData>
    <row r="1" spans="1:11" ht="33.6" customHeight="1">
      <c r="A1" s="28" t="s">
        <v>1414</v>
      </c>
      <c r="B1" s="30" t="s">
        <v>1448</v>
      </c>
      <c r="C1" s="31" t="s">
        <v>1418</v>
      </c>
      <c r="D1" s="31" t="s">
        <v>1419</v>
      </c>
      <c r="E1" s="31" t="s">
        <v>1420</v>
      </c>
      <c r="F1" s="31" t="s">
        <v>1462</v>
      </c>
      <c r="H1" t="s">
        <v>1364</v>
      </c>
      <c r="I1" t="s">
        <v>1366</v>
      </c>
    </row>
    <row r="2" spans="1:11" ht="15.6">
      <c r="A2" s="37" t="s">
        <v>1393</v>
      </c>
      <c r="B2" s="37" t="s">
        <v>908</v>
      </c>
      <c r="C2" s="38">
        <v>2038757.3816383565</v>
      </c>
      <c r="D2" s="38">
        <v>2120761.6351115662</v>
      </c>
      <c r="E2" s="38">
        <v>2210561.9494777005</v>
      </c>
      <c r="F2" s="39" t="str">
        <f>SUBSTITUTE(_xlfn.XLOOKUP(
    Brazil_States[[#This Row],[Federative Unit/State]],
    population_table[State],
    population_table[population]
), ".", "")</f>
        <v>46289333</v>
      </c>
      <c r="H2" s="35" t="s">
        <v>1372</v>
      </c>
      <c r="I2" s="33">
        <v>1796460</v>
      </c>
      <c r="K2" t="str" cm="1">
        <f t="array" ref="K2:K28">IF(ISNUMBER(SEARCH(".", Brazil_States[Population est (2020)])), Brazil_States[Population est (2020)], "")</f>
        <v/>
      </c>
    </row>
    <row r="3" spans="1:11" ht="15.6">
      <c r="A3" s="37" t="s">
        <v>1392</v>
      </c>
      <c r="B3" s="37" t="s">
        <v>959</v>
      </c>
      <c r="C3" s="38">
        <v>640401.2064523648</v>
      </c>
      <c r="D3" s="38">
        <v>671605.668053873</v>
      </c>
      <c r="E3" s="38">
        <v>758859.04686479783</v>
      </c>
      <c r="F3" s="39" t="str">
        <f>SUBSTITUTE(_xlfn.XLOOKUP(
    Brazil_States[[#This Row],[Federative Unit/State]],
    population_table[State],
    population_table[population]
), ".", "")</f>
        <v>17366189</v>
      </c>
      <c r="H3" s="35" t="s">
        <v>1373</v>
      </c>
      <c r="I3" s="33">
        <v>894470</v>
      </c>
      <c r="K3" t="str">
        <v/>
      </c>
    </row>
    <row r="4" spans="1:11" ht="15.6">
      <c r="A4" s="37" t="s">
        <v>1390</v>
      </c>
      <c r="B4" s="37" t="s">
        <v>913</v>
      </c>
      <c r="C4" s="38">
        <v>544810.46839230182</v>
      </c>
      <c r="D4" s="38">
        <v>576375.54468276678</v>
      </c>
      <c r="E4" s="38">
        <v>614875.81979585649</v>
      </c>
      <c r="F4" s="39" t="str">
        <f>SUBSTITUTE(_xlfn.XLOOKUP(
    Brazil_States[[#This Row],[Federative Unit/State]],
    population_table[State],
    population_table[population]
), ".", "")</f>
        <v>21292666</v>
      </c>
      <c r="H4" s="35" t="s">
        <v>1374</v>
      </c>
      <c r="I4" s="33">
        <v>4207714</v>
      </c>
      <c r="K4" t="str">
        <v/>
      </c>
    </row>
    <row r="5" spans="1:11" ht="15.6">
      <c r="A5" s="37" t="s">
        <v>1397</v>
      </c>
      <c r="B5" s="37" t="s">
        <v>925</v>
      </c>
      <c r="C5" s="38">
        <v>408789.52805205254</v>
      </c>
      <c r="D5" s="38">
        <v>423270.04730193398</v>
      </c>
      <c r="E5" s="38">
        <v>457293.9575870824</v>
      </c>
      <c r="F5" s="39" t="str">
        <f>SUBSTITUTE(_xlfn.XLOOKUP(
    Brazil_States[[#This Row],[Federative Unit/State]],
    population_table[State],
    population_table[population]
), ".", "")</f>
        <v>11422973</v>
      </c>
      <c r="H5" s="35" t="s">
        <v>1375</v>
      </c>
      <c r="I5" s="33">
        <v>631181</v>
      </c>
      <c r="K5" t="str">
        <v/>
      </c>
    </row>
    <row r="6" spans="1:11" ht="15.6">
      <c r="A6" s="37" t="s">
        <v>1395</v>
      </c>
      <c r="B6" s="37" t="s">
        <v>920</v>
      </c>
      <c r="C6" s="38">
        <v>401814.16441615147</v>
      </c>
      <c r="D6" s="38">
        <v>421497.8702223397</v>
      </c>
      <c r="E6" s="38">
        <v>440029.40286189422</v>
      </c>
      <c r="F6" s="39" t="str">
        <f>SUBSTITUTE(_xlfn.XLOOKUP(
    Brazil_States[[#This Row],[Federative Unit/State]],
    population_table[State],
    population_table[population]
), ".", "")</f>
        <v>11516840</v>
      </c>
      <c r="H6" s="35" t="s">
        <v>1376</v>
      </c>
      <c r="I6" s="33">
        <v>8690745</v>
      </c>
      <c r="K6" t="str">
        <v/>
      </c>
    </row>
    <row r="7" spans="1:11" ht="15.6">
      <c r="A7" s="37" t="s">
        <v>1396</v>
      </c>
      <c r="B7" s="37" t="s">
        <v>930</v>
      </c>
      <c r="C7" s="38">
        <v>256754.66852956743</v>
      </c>
      <c r="D7" s="38">
        <v>277270.23658296093</v>
      </c>
      <c r="E7" s="38">
        <v>298227.09004340164</v>
      </c>
      <c r="F7" s="39" t="str">
        <f>SUBSTITUTE(_xlfn.XLOOKUP(
    Brazil_States[[#This Row],[Federative Unit/State]],
    population_table[State],
    population_table[population]
), ".", "")</f>
        <v>7252502</v>
      </c>
      <c r="H7" s="35" t="s">
        <v>1377</v>
      </c>
      <c r="I7" s="33">
        <v>861773</v>
      </c>
      <c r="K7" t="str">
        <v/>
      </c>
    </row>
    <row r="8" spans="1:11" ht="15.6">
      <c r="A8" s="37" t="s">
        <v>1388</v>
      </c>
      <c r="B8" s="37" t="s">
        <v>1064</v>
      </c>
      <c r="C8" s="38">
        <v>258738.9702612125</v>
      </c>
      <c r="D8" s="38">
        <v>268724.09022701776</v>
      </c>
      <c r="E8" s="38">
        <v>286239.54111111176</v>
      </c>
      <c r="F8" s="39" t="str">
        <f>SUBSTITUTE(_xlfn.XLOOKUP(
    Brazil_States[[#This Row],[Federative Unit/State]],
    population_table[State],
    population_table[population]
), ".", "")</f>
        <v>14930634</v>
      </c>
      <c r="H8" s="35" t="s">
        <v>1378</v>
      </c>
      <c r="I8" s="33">
        <v>1590248</v>
      </c>
      <c r="K8" t="str">
        <v/>
      </c>
    </row>
    <row r="9" spans="1:11" ht="15.6">
      <c r="A9" s="37" t="s">
        <v>1405</v>
      </c>
      <c r="B9" s="37" t="s">
        <v>1045</v>
      </c>
      <c r="C9" s="38">
        <v>235540.04481066388</v>
      </c>
      <c r="D9" s="38">
        <v>244722.24933729914</v>
      </c>
      <c r="E9" s="38">
        <v>254817.20469239433</v>
      </c>
      <c r="F9" s="39" t="str">
        <f>SUBSTITUTE(_xlfn.XLOOKUP(
    Brazil_States[[#This Row],[Federative Unit/State]],
    population_table[State],
    population_table[population]
), ".", "")</f>
        <v>3055149</v>
      </c>
      <c r="H9" s="35" t="s">
        <v>1380</v>
      </c>
      <c r="I9" s="33">
        <v>7114598</v>
      </c>
      <c r="K9" t="str">
        <v/>
      </c>
    </row>
    <row r="10" spans="1:11" ht="15.6">
      <c r="A10" s="37" t="s">
        <v>1401</v>
      </c>
      <c r="B10" s="37" t="s">
        <v>1040</v>
      </c>
      <c r="C10" s="38">
        <v>181759.60353677449</v>
      </c>
      <c r="D10" s="38">
        <v>191948.30104892678</v>
      </c>
      <c r="E10" s="38">
        <v>195681.72398301063</v>
      </c>
      <c r="F10" s="39" t="str">
        <f>SUBSTITUTE(_xlfn.XLOOKUP(
    Brazil_States[[#This Row],[Federative Unit/State]],
    population_table[State],
    population_table[population]
), ".", "")</f>
        <v>7113540</v>
      </c>
      <c r="H10" s="35" t="s">
        <v>1381</v>
      </c>
      <c r="I10" s="34" t="s">
        <v>1470</v>
      </c>
      <c r="K10" t="str">
        <v/>
      </c>
    </row>
    <row r="11" spans="1:11" ht="15.6">
      <c r="A11" s="37" t="s">
        <v>1385</v>
      </c>
      <c r="B11" s="37" t="s">
        <v>1179</v>
      </c>
      <c r="C11" s="38">
        <v>167345.03124544537</v>
      </c>
      <c r="D11" s="38">
        <v>181609.50084217312</v>
      </c>
      <c r="E11" s="38">
        <v>186351.97524936029</v>
      </c>
      <c r="F11" s="39" t="str">
        <f>SUBSTITUTE(_xlfn.XLOOKUP(
    Brazil_States[[#This Row],[Federative Unit/State]],
    population_table[State],
    population_table[population]
), ".", "")</f>
        <v>9616621</v>
      </c>
      <c r="H11" s="35" t="s">
        <v>1382</v>
      </c>
      <c r="I11" s="34" t="s">
        <v>1471</v>
      </c>
      <c r="K11" t="str">
        <v/>
      </c>
    </row>
    <row r="12" spans="1:11" ht="18" customHeight="1">
      <c r="A12" s="37" t="s">
        <v>1376</v>
      </c>
      <c r="B12" s="37" t="s">
        <v>1208</v>
      </c>
      <c r="C12" s="38">
        <v>138107.51425238128</v>
      </c>
      <c r="D12" s="38">
        <v>155232.4037999197</v>
      </c>
      <c r="E12" s="38">
        <v>161349.60204707587</v>
      </c>
      <c r="F12" s="39" t="str">
        <f>SUBSTITUTE(_xlfn.XLOOKUP(
    Brazil_States[[#This Row],[Federative Unit/State]],
    population_table[State],
    population_table[population]
), ".", "")</f>
        <v>8690745</v>
      </c>
      <c r="H12" s="35" t="s">
        <v>1383</v>
      </c>
      <c r="I12" s="33">
        <v>3534165</v>
      </c>
      <c r="K12" t="str">
        <v/>
      </c>
    </row>
    <row r="13" spans="1:11" ht="15.6">
      <c r="A13" s="37" t="s">
        <v>1382</v>
      </c>
      <c r="B13" s="37" t="s">
        <v>1128</v>
      </c>
      <c r="C13" s="38">
        <v>138422.52065973141</v>
      </c>
      <c r="D13" s="38">
        <v>147921.5339832271</v>
      </c>
      <c r="E13" s="38">
        <v>155903.82475452329</v>
      </c>
      <c r="F13" s="39" t="str">
        <f>SUBSTITUTE(_xlfn.XLOOKUP(
    Brazil_States[[#This Row],[Federative Unit/State]],
    population_table[State],
    population_table[population]
), ".", "")</f>
        <v>9187103</v>
      </c>
      <c r="H13" s="35" t="s">
        <v>1384</v>
      </c>
      <c r="I13" s="33">
        <v>4039277</v>
      </c>
      <c r="K13" t="str">
        <v/>
      </c>
    </row>
    <row r="14" spans="1:11" ht="15.6">
      <c r="A14" s="37" t="s">
        <v>1406</v>
      </c>
      <c r="B14" s="37" t="s">
        <v>1027</v>
      </c>
      <c r="C14" s="38">
        <v>123880.2955554511</v>
      </c>
      <c r="D14" s="38">
        <v>126845.89779122619</v>
      </c>
      <c r="E14" s="38">
        <v>137442.852833963</v>
      </c>
      <c r="F14" s="39" t="str">
        <f>SUBSTITUTE(_xlfn.XLOOKUP(
    Brazil_States[[#This Row],[Federative Unit/State]],
    population_table[State],
    population_table[population]
), ".", "")</f>
        <v>3526220</v>
      </c>
      <c r="H14" s="35" t="s">
        <v>1385</v>
      </c>
      <c r="I14" s="34" t="s">
        <v>1472</v>
      </c>
      <c r="K14" t="str">
        <v/>
      </c>
    </row>
    <row r="15" spans="1:11" ht="15.6">
      <c r="A15" s="37" t="s">
        <v>1391</v>
      </c>
      <c r="B15" s="37" t="s">
        <v>948</v>
      </c>
      <c r="C15" s="38">
        <v>109264.42309478013</v>
      </c>
      <c r="D15" s="38">
        <v>113399.93679153564</v>
      </c>
      <c r="E15" s="38">
        <v>137020.05487388949</v>
      </c>
      <c r="F15" s="39" t="str">
        <f>SUBSTITUTE(_xlfn.XLOOKUP(
    Brazil_States[[#This Row],[Federative Unit/State]],
    population_table[State],
    population_table[population]
), ".", "")</f>
        <v>4064052</v>
      </c>
      <c r="H15" s="35" t="s">
        <v>1386</v>
      </c>
      <c r="I15" s="34" t="s">
        <v>1473</v>
      </c>
      <c r="K15" t="str">
        <v/>
      </c>
    </row>
    <row r="16" spans="1:11" ht="15.6">
      <c r="A16" s="37" t="s">
        <v>1399</v>
      </c>
      <c r="B16" s="37" t="s">
        <v>935</v>
      </c>
      <c r="C16" s="38">
        <v>91892.28516141107</v>
      </c>
      <c r="D16" s="38">
        <v>96396.433755871898</v>
      </c>
      <c r="E16" s="38">
        <v>106969.1416952819</v>
      </c>
      <c r="F16" s="39" t="str">
        <f>SUBSTITUTE(_xlfn.XLOOKUP(
    Brazil_States[[#This Row],[Federative Unit/State]],
    population_table[State],
    population_table[population]
), ".", "")</f>
        <v>2809394</v>
      </c>
      <c r="H16" s="35" t="s">
        <v>1387</v>
      </c>
      <c r="I16" s="34" t="s">
        <v>1474</v>
      </c>
      <c r="K16" t="str">
        <v/>
      </c>
    </row>
    <row r="17" spans="1:11" ht="15.6">
      <c r="A17" s="37" t="s">
        <v>1374</v>
      </c>
      <c r="B17" s="37" t="s">
        <v>1207</v>
      </c>
      <c r="C17" s="38">
        <v>89039.781990685558</v>
      </c>
      <c r="D17" s="38">
        <v>93240.190920268244</v>
      </c>
      <c r="E17" s="38">
        <v>100109.23506773147</v>
      </c>
      <c r="F17" s="39" t="str">
        <f>SUBSTITUTE(_xlfn.XLOOKUP(
    Brazil_States[[#This Row],[Federative Unit/State]],
    population_table[State],
    population_table[population]
), ".", "")</f>
        <v>4207714</v>
      </c>
      <c r="H17" s="35" t="s">
        <v>1388</v>
      </c>
      <c r="I17" s="34" t="s">
        <v>1475</v>
      </c>
      <c r="K17" t="str">
        <v/>
      </c>
    </row>
    <row r="18" spans="1:11" ht="15.6">
      <c r="A18" s="37" t="s">
        <v>1380</v>
      </c>
      <c r="B18" s="37" t="s">
        <v>965</v>
      </c>
      <c r="C18" s="38">
        <v>85310.03813654132</v>
      </c>
      <c r="D18" s="38">
        <v>89542.757302491838</v>
      </c>
      <c r="E18" s="38">
        <v>98179.495652009384</v>
      </c>
      <c r="F18" s="39" t="str">
        <f>SUBSTITUTE(_xlfn.XLOOKUP(
    Brazil_States[[#This Row],[Federative Unit/State]],
    population_table[State],
    population_table[population]
), ".", "")</f>
        <v>7114598</v>
      </c>
      <c r="H18" s="35" t="s">
        <v>1390</v>
      </c>
      <c r="I18" s="33">
        <v>21292666</v>
      </c>
      <c r="K18" t="str">
        <v/>
      </c>
    </row>
    <row r="19" spans="1:11" ht="15.6">
      <c r="A19" s="37" t="s">
        <v>1383</v>
      </c>
      <c r="B19" s="37" t="s">
        <v>918</v>
      </c>
      <c r="C19" s="38">
        <v>59677.388850844123</v>
      </c>
      <c r="D19" s="38">
        <v>64305.995055173407</v>
      </c>
      <c r="E19" s="38">
        <v>66969.562001786049</v>
      </c>
      <c r="F19" s="39" t="str">
        <f>SUBSTITUTE(_xlfn.XLOOKUP(
    Brazil_States[[#This Row],[Federative Unit/State]],
    population_table[State],
    population_table[population]
), ".", "")</f>
        <v>3534165</v>
      </c>
      <c r="H19" s="35" t="s">
        <v>1391</v>
      </c>
      <c r="I19" s="33">
        <v>4064052</v>
      </c>
      <c r="K19" t="str">
        <v/>
      </c>
    </row>
    <row r="20" spans="1:11" ht="15.6">
      <c r="A20" s="37" t="s">
        <v>1384</v>
      </c>
      <c r="B20" s="37" t="s">
        <v>1209</v>
      </c>
      <c r="C20" s="38">
        <v>59104.781392735509</v>
      </c>
      <c r="D20" s="38">
        <v>62396.775524878802</v>
      </c>
      <c r="E20" s="38">
        <v>64373.595375708719</v>
      </c>
      <c r="F20" s="39" t="str">
        <f>SUBSTITUTE(_xlfn.XLOOKUP(
    Brazil_States[[#This Row],[Federative Unit/State]],
    population_table[State],
    population_table[population]
), ".", "")</f>
        <v>4039277</v>
      </c>
      <c r="H20" s="35" t="s">
        <v>1392</v>
      </c>
      <c r="I20" s="33">
        <v>17366189</v>
      </c>
      <c r="K20" t="str">
        <v/>
      </c>
    </row>
    <row r="21" spans="1:11" ht="15.6">
      <c r="A21" s="37" t="s">
        <v>1386</v>
      </c>
      <c r="B21" s="37" t="s">
        <v>1449</v>
      </c>
      <c r="C21" s="38">
        <v>49468.740908663145</v>
      </c>
      <c r="D21" s="38">
        <v>52851.066935945499</v>
      </c>
      <c r="E21" s="38">
        <v>54413.046662401292</v>
      </c>
      <c r="F21" s="39" t="str">
        <f>SUBSTITUTE(_xlfn.XLOOKUP(
    Brazil_States[[#This Row],[Federative Unit/State]],
    population_table[State],
    population_table[population]
), ".", "")</f>
        <v>3351543</v>
      </c>
      <c r="H21" s="35" t="s">
        <v>1393</v>
      </c>
      <c r="I21" s="33">
        <v>46289333</v>
      </c>
      <c r="K21" t="str">
        <v/>
      </c>
    </row>
    <row r="22" spans="1:11" ht="15.6">
      <c r="A22" s="37" t="s">
        <v>1381</v>
      </c>
      <c r="B22" s="37" t="s">
        <v>1210</v>
      </c>
      <c r="C22" s="38">
        <v>41416.936733528681</v>
      </c>
      <c r="D22" s="38">
        <v>45365.541024029102</v>
      </c>
      <c r="E22" s="38">
        <v>50378.417549896272</v>
      </c>
      <c r="F22" s="39" t="str">
        <f>SUBSTITUTE(_xlfn.XLOOKUP(
    Brazil_States[[#This Row],[Federative Unit/State]],
    population_table[State],
    population_table[population]
), ".", "")</f>
        <v>3281480</v>
      </c>
      <c r="H22" s="35" t="s">
        <v>1395</v>
      </c>
      <c r="I22" s="33">
        <v>11516840</v>
      </c>
      <c r="K22" t="str">
        <v/>
      </c>
    </row>
    <row r="23" spans="1:11" ht="15.6">
      <c r="A23" s="37" t="s">
        <v>1372</v>
      </c>
      <c r="B23" s="37" t="s">
        <v>1211</v>
      </c>
      <c r="C23" s="38">
        <v>39460.358977973854</v>
      </c>
      <c r="D23" s="38">
        <v>43516.147490021147</v>
      </c>
      <c r="E23" s="38">
        <v>44913.978486363187</v>
      </c>
      <c r="F23" s="39" t="str">
        <f>SUBSTITUTE(_xlfn.XLOOKUP(
    Brazil_States[[#This Row],[Federative Unit/State]],
    population_table[State],
    population_table[population]
), ".", "")</f>
        <v>1796460</v>
      </c>
      <c r="H23" s="35" t="s">
        <v>1396</v>
      </c>
      <c r="I23" s="33">
        <v>7252502</v>
      </c>
      <c r="K23" t="str">
        <v/>
      </c>
    </row>
    <row r="24" spans="1:11" ht="18" customHeight="1">
      <c r="A24" s="37" t="s">
        <v>1387</v>
      </c>
      <c r="B24" s="37" t="s">
        <v>1212</v>
      </c>
      <c r="C24" s="38">
        <v>38877.438483268583</v>
      </c>
      <c r="D24" s="38">
        <v>40711.486163063353</v>
      </c>
      <c r="E24" s="38">
        <v>42017.981277964303</v>
      </c>
      <c r="F24" s="39" t="str">
        <f>SUBSTITUTE(_xlfn.XLOOKUP(
    Brazil_States[[#This Row],[Federative Unit/State]],
    population_table[State],
    population_table[population]
), ".", "")</f>
        <v>2318822</v>
      </c>
      <c r="H24" s="35" t="s">
        <v>1397</v>
      </c>
      <c r="I24" s="33">
        <v>11422973</v>
      </c>
      <c r="K24" t="str">
        <v/>
      </c>
    </row>
    <row r="25" spans="1:11" ht="18" customHeight="1">
      <c r="A25" s="37" t="s">
        <v>1378</v>
      </c>
      <c r="B25" s="37" t="s">
        <v>1452</v>
      </c>
      <c r="C25" s="38">
        <v>31584.816194581948</v>
      </c>
      <c r="D25" s="38">
        <v>34108.131986952358</v>
      </c>
      <c r="E25" s="38">
        <v>35666.183074917848</v>
      </c>
      <c r="F25" s="39" t="str">
        <f>SUBSTITUTE(_xlfn.XLOOKUP(
    Brazil_States[[#This Row],[Federative Unit/State]],
    population_table[State],
    population_table[population]
), ".", "")</f>
        <v>1590248</v>
      </c>
      <c r="H25" s="35" t="s">
        <v>1399</v>
      </c>
      <c r="I25" s="33">
        <v>2809394</v>
      </c>
      <c r="K25" t="str">
        <v/>
      </c>
    </row>
    <row r="26" spans="1:11" ht="15.6">
      <c r="A26" s="37" t="s">
        <v>1377</v>
      </c>
      <c r="B26" s="37" t="s">
        <v>1450</v>
      </c>
      <c r="C26" s="38">
        <v>14342.135081735614</v>
      </c>
      <c r="D26" s="38">
        <v>15481.908324910746</v>
      </c>
      <c r="E26" s="38">
        <v>16795.206666739672</v>
      </c>
      <c r="F26" s="39" t="str">
        <f>SUBSTITUTE(_xlfn.XLOOKUP(
    Brazil_States[[#This Row],[Federative Unit/State]],
    population_table[State],
    population_table[population]
), ".", "")</f>
        <v>861773</v>
      </c>
      <c r="H26" s="35" t="s">
        <v>1406</v>
      </c>
      <c r="I26" s="33">
        <v>3526220</v>
      </c>
      <c r="K26" t="str">
        <v/>
      </c>
    </row>
    <row r="27" spans="1:11" ht="15.6">
      <c r="A27" s="37" t="s">
        <v>1373</v>
      </c>
      <c r="B27" s="37" t="s">
        <v>1206</v>
      </c>
      <c r="C27" s="38">
        <v>13754.239978511574</v>
      </c>
      <c r="D27" s="38">
        <v>14272.940593128029</v>
      </c>
      <c r="E27" s="38">
        <v>15331.122589735774</v>
      </c>
      <c r="F27" s="39" t="str">
        <f>SUBSTITUTE(_xlfn.XLOOKUP(
    Brazil_States[[#This Row],[Federative Unit/State]],
    population_table[State],
    population_table[population]
), ".", "")</f>
        <v>894470</v>
      </c>
      <c r="H27" s="35" t="s">
        <v>1401</v>
      </c>
      <c r="I27" s="34" t="s">
        <v>1476</v>
      </c>
      <c r="K27" t="str">
        <v/>
      </c>
    </row>
    <row r="28" spans="1:11" ht="15.6">
      <c r="A28" s="37" t="s">
        <v>1375</v>
      </c>
      <c r="B28" s="37" t="s">
        <v>1451</v>
      </c>
      <c r="C28" s="38">
        <v>11013.237212267057</v>
      </c>
      <c r="D28" s="38">
        <v>12104.70914653834</v>
      </c>
      <c r="E28" s="38">
        <v>13369.987723397709</v>
      </c>
      <c r="F28" s="39" t="str">
        <f>SUBSTITUTE(_xlfn.XLOOKUP(
    Brazil_States[[#This Row],[Federative Unit/State]],
    population_table[State],
    population_table[population]
), ".", "")</f>
        <v>631181</v>
      </c>
      <c r="H28" s="41" t="s">
        <v>1405</v>
      </c>
      <c r="I28" s="40" t="s">
        <v>1477</v>
      </c>
      <c r="K28" t="str">
        <v/>
      </c>
    </row>
  </sheetData>
  <sortState xmlns:xlrd2="http://schemas.microsoft.com/office/spreadsheetml/2017/richdata2" ref="A2:E28">
    <sortCondition ref="A1:A28"/>
  </sortState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4A74-BE01-43BC-BBFF-E6F4711635B4}">
  <dimension ref="A1:F28"/>
  <sheetViews>
    <sheetView workbookViewId="0">
      <selection activeCell="F3" sqref="F3"/>
    </sheetView>
  </sheetViews>
  <sheetFormatPr defaultRowHeight="14.4"/>
  <cols>
    <col min="1" max="1" width="18.88671875" customWidth="1"/>
    <col min="2" max="2" width="11.5546875" customWidth="1"/>
    <col min="3" max="3" width="14.21875" customWidth="1"/>
    <col min="4" max="4" width="14.44140625" customWidth="1"/>
    <col min="5" max="5" width="14.109375" customWidth="1"/>
    <col min="6" max="6" width="13.33203125" customWidth="1"/>
  </cols>
  <sheetData>
    <row r="1" spans="1:6" ht="33.6">
      <c r="A1" s="28" t="s">
        <v>1414</v>
      </c>
      <c r="B1" s="30" t="s">
        <v>1448</v>
      </c>
      <c r="C1" s="31" t="s">
        <v>1418</v>
      </c>
      <c r="D1" s="31" t="s">
        <v>1419</v>
      </c>
      <c r="E1" s="31" t="s">
        <v>1420</v>
      </c>
      <c r="F1" s="31" t="s">
        <v>1462</v>
      </c>
    </row>
    <row r="2" spans="1:6" ht="15.6">
      <c r="A2" s="37" t="s">
        <v>1393</v>
      </c>
      <c r="B2" s="37" t="s">
        <v>908</v>
      </c>
      <c r="C2" s="38">
        <v>2038757.3816383565</v>
      </c>
      <c r="D2" s="38">
        <v>2120761.6351115662</v>
      </c>
      <c r="E2" s="38">
        <v>2210561.9494777005</v>
      </c>
      <c r="F2" s="36" t="str">
        <f>SUBSTITUTE(_xlfn.XLOOKUP(
    Brazil_States[[#This Row],[Federative Unit/State]],
    population_table[State],
    population_table[population]
), ".", "")</f>
        <v>46289333</v>
      </c>
    </row>
    <row r="3" spans="1:6" ht="15.6">
      <c r="A3" s="37" t="s">
        <v>1392</v>
      </c>
      <c r="B3" s="37" t="s">
        <v>959</v>
      </c>
      <c r="C3" s="38">
        <v>640401.2064523648</v>
      </c>
      <c r="D3" s="38">
        <v>671605.668053873</v>
      </c>
      <c r="E3" s="38">
        <v>758859.04686479783</v>
      </c>
      <c r="F3" s="36" t="str">
        <f>SUBSTITUTE(_xlfn.XLOOKUP(
    Brazil_States[[#This Row],[Federative Unit/State]],
    population_table[State],
    population_table[population]
), ".", "")</f>
        <v>17366189</v>
      </c>
    </row>
    <row r="4" spans="1:6" ht="15.6">
      <c r="A4" s="37" t="s">
        <v>1390</v>
      </c>
      <c r="B4" s="37" t="s">
        <v>913</v>
      </c>
      <c r="C4" s="38">
        <v>544810.46839230182</v>
      </c>
      <c r="D4" s="38">
        <v>576375.54468276678</v>
      </c>
      <c r="E4" s="38">
        <v>614875.81979585649</v>
      </c>
      <c r="F4" s="36" t="str">
        <f>SUBSTITUTE(_xlfn.XLOOKUP(
    Brazil_States[[#This Row],[Federative Unit/State]],
    population_table[State],
    population_table[population]
), ".", "")</f>
        <v>21292666</v>
      </c>
    </row>
    <row r="5" spans="1:6" ht="15.6">
      <c r="A5" s="37" t="s">
        <v>1397</v>
      </c>
      <c r="B5" s="37" t="s">
        <v>925</v>
      </c>
      <c r="C5" s="38">
        <v>408789.52805205254</v>
      </c>
      <c r="D5" s="38">
        <v>423270.04730193398</v>
      </c>
      <c r="E5" s="38">
        <v>457293.9575870824</v>
      </c>
      <c r="F5" s="36" t="str">
        <f>SUBSTITUTE(_xlfn.XLOOKUP(
    Brazil_States[[#This Row],[Federative Unit/State]],
    population_table[State],
    population_table[population]
), ".", "")</f>
        <v>11422973</v>
      </c>
    </row>
    <row r="6" spans="1:6" ht="15.6">
      <c r="A6" s="37" t="s">
        <v>1395</v>
      </c>
      <c r="B6" s="37" t="s">
        <v>920</v>
      </c>
      <c r="C6" s="38">
        <v>401814.16441615147</v>
      </c>
      <c r="D6" s="38">
        <v>421497.8702223397</v>
      </c>
      <c r="E6" s="38">
        <v>440029.40286189422</v>
      </c>
      <c r="F6" s="36" t="str">
        <f>SUBSTITUTE(_xlfn.XLOOKUP(
    Brazil_States[[#This Row],[Federative Unit/State]],
    population_table[State],
    population_table[population]
), ".", "")</f>
        <v>11516840</v>
      </c>
    </row>
    <row r="7" spans="1:6" ht="15.6">
      <c r="A7" s="37" t="s">
        <v>1396</v>
      </c>
      <c r="B7" s="37" t="s">
        <v>930</v>
      </c>
      <c r="C7" s="38">
        <v>256754.66852956743</v>
      </c>
      <c r="D7" s="38">
        <v>277270.23658296093</v>
      </c>
      <c r="E7" s="38">
        <v>298227.09004340164</v>
      </c>
      <c r="F7" s="36" t="str">
        <f>SUBSTITUTE(_xlfn.XLOOKUP(
    Brazil_States[[#This Row],[Federative Unit/State]],
    population_table[State],
    population_table[population]
), ".", "")</f>
        <v>7252502</v>
      </c>
    </row>
    <row r="8" spans="1:6" ht="15.6">
      <c r="A8" s="37" t="s">
        <v>1388</v>
      </c>
      <c r="B8" s="37" t="s">
        <v>1064</v>
      </c>
      <c r="C8" s="38">
        <v>258738.9702612125</v>
      </c>
      <c r="D8" s="38">
        <v>268724.09022701776</v>
      </c>
      <c r="E8" s="38">
        <v>286239.54111111176</v>
      </c>
      <c r="F8" s="36" t="str">
        <f>SUBSTITUTE(_xlfn.XLOOKUP(
    Brazil_States[[#This Row],[Federative Unit/State]],
    population_table[State],
    population_table[population]
), ".", "")</f>
        <v>14930634</v>
      </c>
    </row>
    <row r="9" spans="1:6" ht="15.6">
      <c r="A9" s="37" t="s">
        <v>1405</v>
      </c>
      <c r="B9" s="37" t="s">
        <v>1045</v>
      </c>
      <c r="C9" s="38">
        <v>235540.04481066388</v>
      </c>
      <c r="D9" s="38">
        <v>244722.24933729914</v>
      </c>
      <c r="E9" s="38">
        <v>254817.20469239433</v>
      </c>
      <c r="F9" s="36" t="str">
        <f>SUBSTITUTE(_xlfn.XLOOKUP(
    Brazil_States[[#This Row],[Federative Unit/State]],
    population_table[State],
    population_table[population]
), ".", "")</f>
        <v>3055149</v>
      </c>
    </row>
    <row r="10" spans="1:6" ht="15.6">
      <c r="A10" s="37" t="s">
        <v>1401</v>
      </c>
      <c r="B10" s="37" t="s">
        <v>1040</v>
      </c>
      <c r="C10" s="38">
        <v>181759.60353677449</v>
      </c>
      <c r="D10" s="38">
        <v>191948.30104892678</v>
      </c>
      <c r="E10" s="38">
        <v>195681.72398301063</v>
      </c>
      <c r="F10" s="36" t="str">
        <f>SUBSTITUTE(_xlfn.XLOOKUP(
    Brazil_States[[#This Row],[Federative Unit/State]],
    population_table[State],
    population_table[population]
), ".", "")</f>
        <v>7113540</v>
      </c>
    </row>
    <row r="11" spans="1:6" ht="15.6">
      <c r="A11" s="37" t="s">
        <v>1385</v>
      </c>
      <c r="B11" s="37" t="s">
        <v>1179</v>
      </c>
      <c r="C11" s="38">
        <v>167345.03124544537</v>
      </c>
      <c r="D11" s="38">
        <v>181609.50084217312</v>
      </c>
      <c r="E11" s="38">
        <v>186351.97524936029</v>
      </c>
      <c r="F11" s="36" t="str">
        <f>SUBSTITUTE(_xlfn.XLOOKUP(
    Brazil_States[[#This Row],[Federative Unit/State]],
    population_table[State],
    population_table[population]
), ".", "")</f>
        <v>9616621</v>
      </c>
    </row>
    <row r="12" spans="1:6" ht="15.6">
      <c r="A12" s="37" t="s">
        <v>1376</v>
      </c>
      <c r="B12" s="37" t="s">
        <v>1208</v>
      </c>
      <c r="C12" s="38">
        <v>138107.51425238128</v>
      </c>
      <c r="D12" s="38">
        <v>155232.4037999197</v>
      </c>
      <c r="E12" s="38">
        <v>161349.60204707587</v>
      </c>
      <c r="F12" s="36" t="str">
        <f>SUBSTITUTE(_xlfn.XLOOKUP(
    Brazil_States[[#This Row],[Federative Unit/State]],
    population_table[State],
    population_table[population]
), ".", "")</f>
        <v>8690745</v>
      </c>
    </row>
    <row r="13" spans="1:6" ht="15.6">
      <c r="A13" s="37" t="s">
        <v>1382</v>
      </c>
      <c r="B13" s="37" t="s">
        <v>1128</v>
      </c>
      <c r="C13" s="38">
        <v>138422.52065973141</v>
      </c>
      <c r="D13" s="38">
        <v>147921.5339832271</v>
      </c>
      <c r="E13" s="38">
        <v>155903.82475452329</v>
      </c>
      <c r="F13" s="36" t="str">
        <f>SUBSTITUTE(_xlfn.XLOOKUP(
    Brazil_States[[#This Row],[Federative Unit/State]],
    population_table[State],
    population_table[population]
), ".", "")</f>
        <v>9187103</v>
      </c>
    </row>
    <row r="14" spans="1:6" ht="15.6">
      <c r="A14" s="37" t="s">
        <v>1406</v>
      </c>
      <c r="B14" s="37" t="s">
        <v>1027</v>
      </c>
      <c r="C14" s="38">
        <v>123880.2955554511</v>
      </c>
      <c r="D14" s="38">
        <v>126845.89779122619</v>
      </c>
      <c r="E14" s="38">
        <v>137442.852833963</v>
      </c>
      <c r="F14" s="36" t="str">
        <f>SUBSTITUTE(_xlfn.XLOOKUP(
    Brazil_States[[#This Row],[Federative Unit/State]],
    population_table[State],
    population_table[population]
), ".", "")</f>
        <v>3526220</v>
      </c>
    </row>
    <row r="15" spans="1:6" ht="15.6">
      <c r="A15" s="37" t="s">
        <v>1391</v>
      </c>
      <c r="B15" s="37" t="s">
        <v>948</v>
      </c>
      <c r="C15" s="38">
        <v>109264.42309478013</v>
      </c>
      <c r="D15" s="38">
        <v>113399.93679153564</v>
      </c>
      <c r="E15" s="38">
        <v>137020.05487388949</v>
      </c>
      <c r="F15" s="36" t="str">
        <f>SUBSTITUTE(_xlfn.XLOOKUP(
    Brazil_States[[#This Row],[Federative Unit/State]],
    population_table[State],
    population_table[population]
), ".", "")</f>
        <v>4064052</v>
      </c>
    </row>
    <row r="16" spans="1:6" ht="15.6">
      <c r="A16" s="37" t="s">
        <v>1399</v>
      </c>
      <c r="B16" s="37" t="s">
        <v>935</v>
      </c>
      <c r="C16" s="38">
        <v>91892.28516141107</v>
      </c>
      <c r="D16" s="38">
        <v>96396.433755871898</v>
      </c>
      <c r="E16" s="38">
        <v>106969.1416952819</v>
      </c>
      <c r="F16" s="36" t="str">
        <f>SUBSTITUTE(_xlfn.XLOOKUP(
    Brazil_States[[#This Row],[Federative Unit/State]],
    population_table[State],
    population_table[population]
), ".", "")</f>
        <v>2809394</v>
      </c>
    </row>
    <row r="17" spans="1:6" ht="15.6">
      <c r="A17" s="37" t="s">
        <v>1374</v>
      </c>
      <c r="B17" s="37" t="s">
        <v>1207</v>
      </c>
      <c r="C17" s="38">
        <v>89039.781990685558</v>
      </c>
      <c r="D17" s="38">
        <v>93240.190920268244</v>
      </c>
      <c r="E17" s="38">
        <v>100109.23506773147</v>
      </c>
      <c r="F17" s="36" t="str">
        <f>SUBSTITUTE(_xlfn.XLOOKUP(
    Brazil_States[[#This Row],[Federative Unit/State]],
    population_table[State],
    population_table[population]
), ".", "")</f>
        <v>4207714</v>
      </c>
    </row>
    <row r="18" spans="1:6" ht="15.6">
      <c r="A18" s="37" t="s">
        <v>1380</v>
      </c>
      <c r="B18" s="37" t="s">
        <v>965</v>
      </c>
      <c r="C18" s="38">
        <v>85310.03813654132</v>
      </c>
      <c r="D18" s="38">
        <v>89542.757302491838</v>
      </c>
      <c r="E18" s="38">
        <v>98179.495652009384</v>
      </c>
      <c r="F18" s="36" t="str">
        <f>SUBSTITUTE(_xlfn.XLOOKUP(
    Brazil_States[[#This Row],[Federative Unit/State]],
    population_table[State],
    population_table[population]
), ".", "")</f>
        <v>7114598</v>
      </c>
    </row>
    <row r="19" spans="1:6" ht="15.6">
      <c r="A19" s="37" t="s">
        <v>1383</v>
      </c>
      <c r="B19" s="37" t="s">
        <v>918</v>
      </c>
      <c r="C19" s="38">
        <v>59677.388850844123</v>
      </c>
      <c r="D19" s="38">
        <v>64305.995055173407</v>
      </c>
      <c r="E19" s="38">
        <v>66969.562001786049</v>
      </c>
      <c r="F19" s="36" t="str">
        <f>SUBSTITUTE(_xlfn.XLOOKUP(
    Brazil_States[[#This Row],[Federative Unit/State]],
    population_table[State],
    population_table[population]
), ".", "")</f>
        <v>3534165</v>
      </c>
    </row>
    <row r="20" spans="1:6" ht="15.6">
      <c r="A20" s="37" t="s">
        <v>1384</v>
      </c>
      <c r="B20" s="37" t="s">
        <v>1209</v>
      </c>
      <c r="C20" s="38">
        <v>59104.781392735509</v>
      </c>
      <c r="D20" s="38">
        <v>62396.775524878802</v>
      </c>
      <c r="E20" s="38">
        <v>64373.595375708719</v>
      </c>
      <c r="F20" s="36" t="str">
        <f>SUBSTITUTE(_xlfn.XLOOKUP(
    Brazil_States[[#This Row],[Federative Unit/State]],
    population_table[State],
    population_table[population]
), ".", "")</f>
        <v>4039277</v>
      </c>
    </row>
    <row r="21" spans="1:6" ht="15.6">
      <c r="A21" s="37" t="s">
        <v>1386</v>
      </c>
      <c r="B21" s="37" t="s">
        <v>1449</v>
      </c>
      <c r="C21" s="38">
        <v>49468.740908663145</v>
      </c>
      <c r="D21" s="38">
        <v>52851.066935945499</v>
      </c>
      <c r="E21" s="38">
        <v>54413.046662401292</v>
      </c>
      <c r="F21" s="36" t="str">
        <f>SUBSTITUTE(_xlfn.XLOOKUP(
    Brazil_States[[#This Row],[Federative Unit/State]],
    population_table[State],
    population_table[population]
), ".", "")</f>
        <v>3351543</v>
      </c>
    </row>
    <row r="22" spans="1:6" ht="15.6">
      <c r="A22" s="37" t="s">
        <v>1381</v>
      </c>
      <c r="B22" s="37" t="s">
        <v>1210</v>
      </c>
      <c r="C22" s="38">
        <v>41416.936733528681</v>
      </c>
      <c r="D22" s="38">
        <v>45365.541024029102</v>
      </c>
      <c r="E22" s="38">
        <v>50378.417549896272</v>
      </c>
      <c r="F22" s="36" t="str">
        <f>SUBSTITUTE(_xlfn.XLOOKUP(
    Brazil_States[[#This Row],[Federative Unit/State]],
    population_table[State],
    population_table[population]
), ".", "")</f>
        <v>3281480</v>
      </c>
    </row>
    <row r="23" spans="1:6" ht="15.6">
      <c r="A23" s="37" t="s">
        <v>1372</v>
      </c>
      <c r="B23" s="37" t="s">
        <v>1211</v>
      </c>
      <c r="C23" s="38">
        <v>39460.358977973854</v>
      </c>
      <c r="D23" s="38">
        <v>43516.147490021147</v>
      </c>
      <c r="E23" s="38">
        <v>44913.978486363187</v>
      </c>
      <c r="F23" s="36" t="str">
        <f>SUBSTITUTE(_xlfn.XLOOKUP(
    Brazil_States[[#This Row],[Federative Unit/State]],
    population_table[State],
    population_table[population]
), ".", "")</f>
        <v>1796460</v>
      </c>
    </row>
    <row r="24" spans="1:6" ht="15.6">
      <c r="A24" s="37" t="s">
        <v>1387</v>
      </c>
      <c r="B24" s="37" t="s">
        <v>1212</v>
      </c>
      <c r="C24" s="38">
        <v>38877.438483268583</v>
      </c>
      <c r="D24" s="38">
        <v>40711.486163063353</v>
      </c>
      <c r="E24" s="38">
        <v>42017.981277964303</v>
      </c>
      <c r="F24" s="36" t="str">
        <f>SUBSTITUTE(_xlfn.XLOOKUP(
    Brazil_States[[#This Row],[Federative Unit/State]],
    population_table[State],
    population_table[population]
), ".", "")</f>
        <v>2318822</v>
      </c>
    </row>
    <row r="25" spans="1:6" ht="15.6">
      <c r="A25" s="37" t="s">
        <v>1378</v>
      </c>
      <c r="B25" s="37" t="s">
        <v>1452</v>
      </c>
      <c r="C25" s="38">
        <v>31584.816194581948</v>
      </c>
      <c r="D25" s="38">
        <v>34108.131986952358</v>
      </c>
      <c r="E25" s="38">
        <v>35666.183074917848</v>
      </c>
      <c r="F25" s="36" t="str">
        <f>SUBSTITUTE(_xlfn.XLOOKUP(
    Brazil_States[[#This Row],[Federative Unit/State]],
    population_table[State],
    population_table[population]
), ".", "")</f>
        <v>1590248</v>
      </c>
    </row>
    <row r="26" spans="1:6" ht="15.6">
      <c r="A26" s="37" t="s">
        <v>1377</v>
      </c>
      <c r="B26" s="37" t="s">
        <v>1450</v>
      </c>
      <c r="C26" s="38">
        <v>14342.135081735614</v>
      </c>
      <c r="D26" s="38">
        <v>15481.908324910746</v>
      </c>
      <c r="E26" s="38">
        <v>16795.206666739672</v>
      </c>
      <c r="F26" s="36" t="str">
        <f>SUBSTITUTE(_xlfn.XLOOKUP(
    Brazil_States[[#This Row],[Federative Unit/State]],
    population_table[State],
    population_table[population]
), ".", "")</f>
        <v>861773</v>
      </c>
    </row>
    <row r="27" spans="1:6" ht="15.6">
      <c r="A27" s="37" t="s">
        <v>1373</v>
      </c>
      <c r="B27" s="37" t="s">
        <v>1206</v>
      </c>
      <c r="C27" s="38">
        <v>13754.239978511574</v>
      </c>
      <c r="D27" s="38">
        <v>14272.940593128029</v>
      </c>
      <c r="E27" s="38">
        <v>15331.122589735774</v>
      </c>
      <c r="F27" s="36" t="str">
        <f>SUBSTITUTE(_xlfn.XLOOKUP(
    Brazil_States[[#This Row],[Federative Unit/State]],
    population_table[State],
    population_table[population]
), ".", "")</f>
        <v>894470</v>
      </c>
    </row>
    <row r="28" spans="1:6" ht="15.6">
      <c r="A28" s="37" t="s">
        <v>1375</v>
      </c>
      <c r="B28" s="37" t="s">
        <v>1451</v>
      </c>
      <c r="C28" s="38">
        <v>11013.237212267057</v>
      </c>
      <c r="D28" s="38">
        <v>12104.70914653834</v>
      </c>
      <c r="E28" s="38">
        <v>13369.987723397709</v>
      </c>
      <c r="F28" s="36" t="str">
        <f>SUBSTITUTE(_xlfn.XLOOKUP(
    Brazil_States[[#This Row],[Federative Unit/State]],
    population_table[State],
    population_table[population]
), ".", "")</f>
        <v>631181</v>
      </c>
    </row>
  </sheetData>
  <phoneticPr fontId="90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75358-B66B-4D23-9CC5-7F2E17919BEA}">
  <dimension ref="A1:D26"/>
  <sheetViews>
    <sheetView topLeftCell="V1" workbookViewId="0">
      <selection activeCell="B1" sqref="B1"/>
    </sheetView>
  </sheetViews>
  <sheetFormatPr defaultRowHeight="14.4"/>
  <cols>
    <col min="1" max="1" width="13.332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42614</v>
      </c>
      <c r="B2">
        <v>4</v>
      </c>
      <c r="C2">
        <v>3</v>
      </c>
      <c r="D2">
        <v>75</v>
      </c>
    </row>
    <row r="3" spans="1:4">
      <c r="A3" s="1">
        <v>42644</v>
      </c>
      <c r="B3">
        <v>324</v>
      </c>
      <c r="C3">
        <v>54</v>
      </c>
      <c r="D3">
        <v>16.670000000000002</v>
      </c>
    </row>
    <row r="4" spans="1:4">
      <c r="A4" s="1">
        <v>42705</v>
      </c>
      <c r="B4">
        <v>1</v>
      </c>
      <c r="C4">
        <v>0</v>
      </c>
      <c r="D4">
        <v>0</v>
      </c>
    </row>
    <row r="5" spans="1:4">
      <c r="A5" s="1">
        <v>42736</v>
      </c>
      <c r="B5">
        <v>800</v>
      </c>
      <c r="C5">
        <v>50</v>
      </c>
      <c r="D5">
        <v>6.25</v>
      </c>
    </row>
    <row r="6" spans="1:4">
      <c r="A6" s="1">
        <v>42767</v>
      </c>
      <c r="B6">
        <v>1780</v>
      </c>
      <c r="C6">
        <v>127</v>
      </c>
      <c r="D6">
        <v>7.13</v>
      </c>
    </row>
    <row r="7" spans="1:4">
      <c r="A7" s="1">
        <v>42795</v>
      </c>
      <c r="B7">
        <v>2682</v>
      </c>
      <c r="C7">
        <v>136</v>
      </c>
      <c r="D7">
        <v>5.07</v>
      </c>
    </row>
    <row r="8" spans="1:4">
      <c r="A8" s="1">
        <v>42826</v>
      </c>
      <c r="B8">
        <v>2404</v>
      </c>
      <c r="C8">
        <v>101</v>
      </c>
      <c r="D8">
        <v>4.2</v>
      </c>
    </row>
    <row r="9" spans="1:4">
      <c r="A9" s="1">
        <v>42856</v>
      </c>
      <c r="B9">
        <v>3700</v>
      </c>
      <c r="C9">
        <v>155</v>
      </c>
      <c r="D9">
        <v>4.1900000000000004</v>
      </c>
    </row>
    <row r="10" spans="1:4">
      <c r="A10" s="1">
        <v>42887</v>
      </c>
      <c r="B10">
        <v>3245</v>
      </c>
      <c r="C10">
        <v>110</v>
      </c>
      <c r="D10">
        <v>3.39</v>
      </c>
    </row>
    <row r="11" spans="1:4">
      <c r="A11" s="1">
        <v>42917</v>
      </c>
      <c r="B11">
        <v>4026</v>
      </c>
      <c r="C11">
        <v>154</v>
      </c>
      <c r="D11">
        <v>3.83</v>
      </c>
    </row>
    <row r="12" spans="1:4">
      <c r="A12" s="1">
        <v>42948</v>
      </c>
      <c r="B12">
        <v>4331</v>
      </c>
      <c r="C12">
        <v>138</v>
      </c>
      <c r="D12">
        <v>3.19</v>
      </c>
    </row>
    <row r="13" spans="1:4">
      <c r="A13" s="1">
        <v>42979</v>
      </c>
      <c r="B13">
        <v>4285</v>
      </c>
      <c r="C13">
        <v>135</v>
      </c>
      <c r="D13">
        <v>3.15</v>
      </c>
    </row>
    <row r="14" spans="1:4">
      <c r="A14" s="1">
        <v>43009</v>
      </c>
      <c r="B14">
        <v>4631</v>
      </c>
      <c r="C14">
        <v>153</v>
      </c>
      <c r="D14">
        <v>3.3</v>
      </c>
    </row>
    <row r="15" spans="1:4">
      <c r="A15" s="1">
        <v>43040</v>
      </c>
      <c r="B15">
        <v>7544</v>
      </c>
      <c r="C15">
        <v>256</v>
      </c>
      <c r="D15">
        <v>3.39</v>
      </c>
    </row>
    <row r="16" spans="1:4">
      <c r="A16" s="1">
        <v>43070</v>
      </c>
      <c r="B16">
        <v>5673</v>
      </c>
      <c r="C16">
        <v>160</v>
      </c>
      <c r="D16">
        <v>2.82</v>
      </c>
    </row>
    <row r="17" spans="1:4">
      <c r="A17" s="1">
        <v>43101</v>
      </c>
      <c r="B17">
        <v>7269</v>
      </c>
      <c r="C17">
        <v>200</v>
      </c>
      <c r="D17">
        <v>2.75</v>
      </c>
    </row>
    <row r="18" spans="1:4">
      <c r="A18" s="1">
        <v>43132</v>
      </c>
      <c r="B18">
        <v>6728</v>
      </c>
      <c r="C18">
        <v>172</v>
      </c>
      <c r="D18">
        <v>2.56</v>
      </c>
    </row>
    <row r="19" spans="1:4">
      <c r="A19" s="1">
        <v>43160</v>
      </c>
      <c r="B19">
        <v>7211</v>
      </c>
      <c r="C19">
        <v>208</v>
      </c>
      <c r="D19">
        <v>2.88</v>
      </c>
    </row>
    <row r="20" spans="1:4">
      <c r="A20" s="1">
        <v>43191</v>
      </c>
      <c r="B20">
        <v>6939</v>
      </c>
      <c r="C20">
        <v>141</v>
      </c>
      <c r="D20">
        <v>2.0299999999999998</v>
      </c>
    </row>
    <row r="21" spans="1:4">
      <c r="A21" s="1">
        <v>43221</v>
      </c>
      <c r="B21">
        <v>6873</v>
      </c>
      <c r="C21">
        <v>124</v>
      </c>
      <c r="D21">
        <v>1.8</v>
      </c>
    </row>
    <row r="22" spans="1:4">
      <c r="A22" s="1">
        <v>43252</v>
      </c>
      <c r="B22">
        <v>6167</v>
      </c>
      <c r="C22">
        <v>71</v>
      </c>
      <c r="D22">
        <v>1.1499999999999999</v>
      </c>
    </row>
    <row r="23" spans="1:4">
      <c r="A23" s="1">
        <v>43282</v>
      </c>
      <c r="B23">
        <v>6292</v>
      </c>
      <c r="C23">
        <v>136</v>
      </c>
      <c r="D23">
        <v>2.16</v>
      </c>
    </row>
    <row r="24" spans="1:4">
      <c r="A24" s="1">
        <v>43313</v>
      </c>
      <c r="B24">
        <v>6512</v>
      </c>
      <c r="C24">
        <v>161</v>
      </c>
      <c r="D24">
        <v>2.4700000000000002</v>
      </c>
    </row>
    <row r="25" spans="1:4">
      <c r="A25" s="1">
        <v>43344</v>
      </c>
      <c r="B25">
        <v>16</v>
      </c>
      <c r="C25">
        <v>16</v>
      </c>
      <c r="D25">
        <v>100</v>
      </c>
    </row>
    <row r="26" spans="1:4">
      <c r="A26" s="1">
        <v>43374</v>
      </c>
      <c r="B26">
        <v>4</v>
      </c>
      <c r="C26">
        <v>4</v>
      </c>
      <c r="D26">
        <v>100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1ADE-F110-4F44-B89C-609E0CC98E5B}">
  <dimension ref="A3:BW19"/>
  <sheetViews>
    <sheetView topLeftCell="A15" workbookViewId="0">
      <selection activeCell="B34" sqref="B34"/>
    </sheetView>
  </sheetViews>
  <sheetFormatPr defaultRowHeight="14.4"/>
  <cols>
    <col min="1" max="1" width="18.88671875" bestFit="1" customWidth="1"/>
    <col min="2" max="2" width="23.5546875" bestFit="1" customWidth="1"/>
    <col min="3" max="3" width="9.33203125" bestFit="1" customWidth="1"/>
    <col min="4" max="4" width="17" bestFit="1" customWidth="1"/>
    <col min="5" max="5" width="6.109375" bestFit="1" customWidth="1"/>
    <col min="6" max="6" width="16.77734375" bestFit="1" customWidth="1"/>
    <col min="7" max="7" width="15.44140625" bestFit="1" customWidth="1"/>
    <col min="8" max="8" width="14.6640625" bestFit="1" customWidth="1"/>
    <col min="9" max="9" width="6.109375" bestFit="1" customWidth="1"/>
    <col min="10" max="10" width="10.44140625" bestFit="1" customWidth="1"/>
    <col min="11" max="11" width="6.109375" bestFit="1" customWidth="1"/>
    <col min="12" max="12" width="7.77734375" bestFit="1" customWidth="1"/>
    <col min="13" max="13" width="12.33203125" bestFit="1" customWidth="1"/>
    <col min="14" max="14" width="10.44140625" bestFit="1" customWidth="1"/>
    <col min="15" max="15" width="17" bestFit="1" customWidth="1"/>
    <col min="16" max="16" width="12.5546875" bestFit="1" customWidth="1"/>
    <col min="17" max="17" width="14.44140625" bestFit="1" customWidth="1"/>
    <col min="18" max="18" width="15" bestFit="1" customWidth="1"/>
    <col min="19" max="19" width="17.33203125" bestFit="1" customWidth="1"/>
    <col min="20" max="20" width="8.5546875" bestFit="1" customWidth="1"/>
    <col min="21" max="21" width="11.88671875" bestFit="1" customWidth="1"/>
    <col min="22" max="22" width="14.6640625" bestFit="1" customWidth="1"/>
    <col min="23" max="23" width="31.6640625" bestFit="1" customWidth="1"/>
    <col min="24" max="24" width="32.5546875" bestFit="1" customWidth="1"/>
    <col min="25" max="25" width="31.77734375" bestFit="1" customWidth="1"/>
    <col min="26" max="26" width="27.88671875" bestFit="1" customWidth="1"/>
    <col min="27" max="27" width="30.88671875" bestFit="1" customWidth="1"/>
    <col min="28" max="28" width="9" bestFit="1" customWidth="1"/>
    <col min="29" max="29" width="11.77734375" bestFit="1" customWidth="1"/>
    <col min="30" max="30" width="15.77734375" bestFit="1" customWidth="1"/>
    <col min="31" max="31" width="17.6640625" bestFit="1" customWidth="1"/>
    <col min="32" max="32" width="10.33203125" bestFit="1" customWidth="1"/>
    <col min="33" max="33" width="13.5546875" bestFit="1" customWidth="1"/>
    <col min="34" max="34" width="12.21875" bestFit="1" customWidth="1"/>
    <col min="35" max="35" width="25" bestFit="1" customWidth="1"/>
    <col min="36" max="36" width="15.44140625" bestFit="1" customWidth="1"/>
    <col min="37" max="37" width="14.21875" bestFit="1" customWidth="1"/>
    <col min="38" max="38" width="20.88671875" bestFit="1" customWidth="1"/>
    <col min="39" max="39" width="25.88671875" bestFit="1" customWidth="1"/>
    <col min="40" max="40" width="22.33203125" bestFit="1" customWidth="1"/>
    <col min="41" max="41" width="29.5546875" bestFit="1" customWidth="1"/>
    <col min="42" max="42" width="17.6640625" bestFit="1" customWidth="1"/>
    <col min="43" max="43" width="6.109375" bestFit="1" customWidth="1"/>
    <col min="44" max="44" width="13.6640625" bestFit="1" customWidth="1"/>
    <col min="45" max="45" width="27.44140625" bestFit="1" customWidth="1"/>
    <col min="46" max="47" width="20.5546875" bestFit="1" customWidth="1"/>
    <col min="48" max="48" width="9.33203125" bestFit="1" customWidth="1"/>
    <col min="49" max="49" width="16.109375" bestFit="1" customWidth="1"/>
    <col min="50" max="50" width="19.109375" bestFit="1" customWidth="1"/>
    <col min="51" max="51" width="13.5546875" bestFit="1" customWidth="1"/>
    <col min="52" max="52" width="15.88671875" bestFit="1" customWidth="1"/>
    <col min="53" max="53" width="12.44140625" bestFit="1" customWidth="1"/>
    <col min="54" max="54" width="24.44140625" bestFit="1" customWidth="1"/>
    <col min="55" max="55" width="43" bestFit="1" customWidth="1"/>
    <col min="56" max="56" width="16.6640625" bestFit="1" customWidth="1"/>
    <col min="57" max="57" width="15.88671875" bestFit="1" customWidth="1"/>
    <col min="58" max="58" width="13.33203125" bestFit="1" customWidth="1"/>
    <col min="59" max="59" width="11.21875" bestFit="1" customWidth="1"/>
    <col min="60" max="60" width="7.109375" bestFit="1" customWidth="1"/>
    <col min="61" max="61" width="9" bestFit="1" customWidth="1"/>
    <col min="62" max="62" width="9.109375" bestFit="1" customWidth="1"/>
    <col min="63" max="63" width="6.109375" bestFit="1" customWidth="1"/>
    <col min="64" max="64" width="10.21875" bestFit="1" customWidth="1"/>
    <col min="65" max="65" width="8.5546875" bestFit="1" customWidth="1"/>
    <col min="66" max="66" width="24.6640625" bestFit="1" customWidth="1"/>
    <col min="67" max="67" width="42.44140625" bestFit="1" customWidth="1"/>
    <col min="68" max="68" width="16.6640625" bestFit="1" customWidth="1"/>
    <col min="69" max="69" width="16.88671875" bestFit="1" customWidth="1"/>
    <col min="70" max="70" width="21.77734375" bestFit="1" customWidth="1"/>
    <col min="71" max="71" width="24.33203125" bestFit="1" customWidth="1"/>
    <col min="72" max="72" width="8.33203125" bestFit="1" customWidth="1"/>
    <col min="73" max="73" width="12.109375" bestFit="1" customWidth="1"/>
    <col min="74" max="74" width="20.21875" bestFit="1" customWidth="1"/>
    <col min="75" max="75" width="7" bestFit="1" customWidth="1"/>
    <col min="76" max="76" width="10.5546875" bestFit="1" customWidth="1"/>
  </cols>
  <sheetData>
    <row r="3" spans="1:75">
      <c r="A3" s="4" t="s">
        <v>1300</v>
      </c>
      <c r="B3" s="4" t="s">
        <v>945</v>
      </c>
    </row>
    <row r="4" spans="1:75">
      <c r="A4" s="4" t="s">
        <v>943</v>
      </c>
      <c r="B4" t="s">
        <v>1226</v>
      </c>
      <c r="C4" t="s">
        <v>1227</v>
      </c>
      <c r="D4" t="s">
        <v>1228</v>
      </c>
      <c r="E4" t="s">
        <v>1229</v>
      </c>
      <c r="F4" t="s">
        <v>1230</v>
      </c>
      <c r="G4" t="s">
        <v>1231</v>
      </c>
      <c r="H4" t="s">
        <v>1232</v>
      </c>
      <c r="I4" t="s">
        <v>1233</v>
      </c>
      <c r="J4" t="s">
        <v>1234</v>
      </c>
      <c r="K4" t="s">
        <v>1235</v>
      </c>
      <c r="L4" t="s">
        <v>1236</v>
      </c>
      <c r="M4" t="s">
        <v>1237</v>
      </c>
      <c r="N4" t="s">
        <v>1238</v>
      </c>
      <c r="O4" t="s">
        <v>1239</v>
      </c>
      <c r="P4" t="s">
        <v>1240</v>
      </c>
      <c r="Q4" t="s">
        <v>1241</v>
      </c>
      <c r="R4" t="s">
        <v>1242</v>
      </c>
      <c r="S4" t="s">
        <v>1243</v>
      </c>
      <c r="T4" t="s">
        <v>1244</v>
      </c>
      <c r="U4" t="s">
        <v>1245</v>
      </c>
      <c r="V4" t="s">
        <v>1246</v>
      </c>
      <c r="W4" t="s">
        <v>1247</v>
      </c>
      <c r="X4" t="s">
        <v>1248</v>
      </c>
      <c r="Y4" t="s">
        <v>1249</v>
      </c>
      <c r="Z4" t="s">
        <v>1250</v>
      </c>
      <c r="AA4" t="s">
        <v>1251</v>
      </c>
      <c r="AB4" t="s">
        <v>1252</v>
      </c>
      <c r="AC4" t="s">
        <v>1253</v>
      </c>
      <c r="AD4" t="s">
        <v>1254</v>
      </c>
      <c r="AE4" t="s">
        <v>1255</v>
      </c>
      <c r="AF4" t="s">
        <v>1256</v>
      </c>
      <c r="AG4" t="s">
        <v>1257</v>
      </c>
      <c r="AH4" t="s">
        <v>1258</v>
      </c>
      <c r="AI4" t="s">
        <v>1259</v>
      </c>
      <c r="AJ4" t="s">
        <v>1260</v>
      </c>
      <c r="AK4" t="s">
        <v>1261</v>
      </c>
      <c r="AL4" t="s">
        <v>1262</v>
      </c>
      <c r="AM4" t="s">
        <v>1263</v>
      </c>
      <c r="AN4" t="s">
        <v>1264</v>
      </c>
      <c r="AO4" t="s">
        <v>1265</v>
      </c>
      <c r="AP4" t="s">
        <v>1266</v>
      </c>
      <c r="AQ4" t="s">
        <v>1267</v>
      </c>
      <c r="AR4" t="s">
        <v>1268</v>
      </c>
      <c r="AS4" t="s">
        <v>1269</v>
      </c>
      <c r="AT4" t="s">
        <v>1270</v>
      </c>
      <c r="AU4" t="s">
        <v>1271</v>
      </c>
      <c r="AV4" t="s">
        <v>1272</v>
      </c>
      <c r="AW4" t="s">
        <v>1273</v>
      </c>
      <c r="AX4" t="s">
        <v>1274</v>
      </c>
      <c r="AY4" t="s">
        <v>1275</v>
      </c>
      <c r="AZ4" t="s">
        <v>1276</v>
      </c>
      <c r="BA4" t="s">
        <v>1277</v>
      </c>
      <c r="BB4" t="s">
        <v>1278</v>
      </c>
      <c r="BC4" t="s">
        <v>1279</v>
      </c>
      <c r="BD4" t="s">
        <v>1280</v>
      </c>
      <c r="BE4" t="s">
        <v>1281</v>
      </c>
      <c r="BF4" t="s">
        <v>1282</v>
      </c>
      <c r="BG4" t="s">
        <v>1283</v>
      </c>
      <c r="BH4" t="s">
        <v>1284</v>
      </c>
      <c r="BI4" t="s">
        <v>1285</v>
      </c>
      <c r="BJ4" t="s">
        <v>1286</v>
      </c>
      <c r="BK4" t="s">
        <v>1287</v>
      </c>
      <c r="BL4" t="s">
        <v>1288</v>
      </c>
      <c r="BM4" t="s">
        <v>1289</v>
      </c>
      <c r="BN4" t="s">
        <v>1290</v>
      </c>
      <c r="BO4" t="s">
        <v>1291</v>
      </c>
      <c r="BP4" t="s">
        <v>1292</v>
      </c>
      <c r="BQ4" t="s">
        <v>1293</v>
      </c>
      <c r="BR4" t="s">
        <v>1294</v>
      </c>
      <c r="BS4" t="s">
        <v>1295</v>
      </c>
      <c r="BT4" t="s">
        <v>1296</v>
      </c>
      <c r="BU4" t="s">
        <v>1297</v>
      </c>
      <c r="BV4" t="s">
        <v>1298</v>
      </c>
      <c r="BW4" t="s">
        <v>1299</v>
      </c>
    </row>
    <row r="5" spans="1:75">
      <c r="A5" s="5" t="s">
        <v>1064</v>
      </c>
      <c r="B5" s="6">
        <v>1.3276686139139671E-3</v>
      </c>
      <c r="C5" s="6">
        <v>3.7174721189591076E-3</v>
      </c>
      <c r="D5" s="6">
        <v>2.1242697822623472E-3</v>
      </c>
      <c r="E5" s="6">
        <v>2.6553372278279343E-3</v>
      </c>
      <c r="F5" s="6">
        <v>0</v>
      </c>
      <c r="G5" s="6">
        <v>0</v>
      </c>
      <c r="H5" s="6">
        <v>2.6553372278279343E-3</v>
      </c>
      <c r="I5" s="6">
        <v>3.7174721189591076E-3</v>
      </c>
      <c r="J5" s="6">
        <v>4.1688794476898564E-2</v>
      </c>
      <c r="K5" s="6">
        <v>2.5491237387148168E-2</v>
      </c>
      <c r="L5" s="6">
        <v>1.3276686139139671E-3</v>
      </c>
      <c r="M5" s="6">
        <v>9.1874668082846528E-2</v>
      </c>
      <c r="N5" s="6">
        <v>3.0801911842804036E-2</v>
      </c>
      <c r="O5" s="6">
        <v>6.8507700477960704E-2</v>
      </c>
      <c r="P5" s="6">
        <v>3.186404673393521E-3</v>
      </c>
      <c r="Q5" s="6">
        <v>2.6553372278279339E-4</v>
      </c>
      <c r="R5" s="6">
        <v>3.7174721189591076E-3</v>
      </c>
      <c r="S5" s="6">
        <v>0</v>
      </c>
      <c r="T5" s="6">
        <v>7.9660116834838024E-4</v>
      </c>
      <c r="U5" s="6">
        <v>1.5932023366967605E-3</v>
      </c>
      <c r="V5" s="6">
        <v>9.2936802973977699E-3</v>
      </c>
      <c r="W5" s="6">
        <v>9.5592140201805637E-3</v>
      </c>
      <c r="X5" s="6">
        <v>1.3276686139139671E-3</v>
      </c>
      <c r="Y5" s="6">
        <v>1.5932023366967605E-3</v>
      </c>
      <c r="Z5" s="6">
        <v>2.1242697822623472E-3</v>
      </c>
      <c r="AA5" s="6">
        <v>1.8587360594795538E-3</v>
      </c>
      <c r="AB5" s="6">
        <v>3.8767923526287836E-2</v>
      </c>
      <c r="AC5" s="6">
        <v>0</v>
      </c>
      <c r="AD5" s="6">
        <v>1.0621348911311737E-2</v>
      </c>
      <c r="AE5" s="6">
        <v>1.5932023366967605E-3</v>
      </c>
      <c r="AF5" s="6">
        <v>2.8677642060541689E-2</v>
      </c>
      <c r="AG5" s="6">
        <v>4.7796070100902819E-3</v>
      </c>
      <c r="AH5" s="6">
        <v>7.7801380775358475E-2</v>
      </c>
      <c r="AI5" s="6">
        <v>2.1242697822623474E-2</v>
      </c>
      <c r="AJ5" s="6">
        <v>1.8587360594795538E-3</v>
      </c>
      <c r="AK5" s="6">
        <v>5.3106744556558679E-4</v>
      </c>
      <c r="AL5" s="6">
        <v>2.6553372278279339E-4</v>
      </c>
      <c r="AM5" s="6">
        <v>2.6553372278279339E-4</v>
      </c>
      <c r="AN5" s="6">
        <v>2.3898035050451409E-3</v>
      </c>
      <c r="AO5" s="6">
        <v>1.5932023366967605E-3</v>
      </c>
      <c r="AP5" s="6">
        <v>4.6202867764206054E-2</v>
      </c>
      <c r="AQ5" s="6">
        <v>0</v>
      </c>
      <c r="AR5" s="6">
        <v>2.6553372278279339E-4</v>
      </c>
      <c r="AS5" s="6">
        <v>1.3276686139139671E-3</v>
      </c>
      <c r="AT5" s="6">
        <v>6.8507700477960704E-2</v>
      </c>
      <c r="AU5" s="6">
        <v>1.0355815188528943E-2</v>
      </c>
      <c r="AV5" s="6">
        <v>0</v>
      </c>
      <c r="AW5" s="6">
        <v>2.6553372278279339E-4</v>
      </c>
      <c r="AX5" s="6">
        <v>3.7174721189591076E-3</v>
      </c>
      <c r="AY5" s="6">
        <v>2.6553372278279343E-3</v>
      </c>
      <c r="AZ5" s="6">
        <v>8.4970791290493886E-3</v>
      </c>
      <c r="BA5" s="6">
        <v>1.0621348911311736E-3</v>
      </c>
      <c r="BB5" s="6">
        <v>0</v>
      </c>
      <c r="BC5" s="6">
        <v>7.9660116834838024E-4</v>
      </c>
      <c r="BD5" s="6">
        <v>6.6914498141263934E-2</v>
      </c>
      <c r="BE5" s="6">
        <v>2.4694636218799786E-2</v>
      </c>
      <c r="BF5" s="6">
        <v>1.0621348911311736E-3</v>
      </c>
      <c r="BG5" s="6">
        <v>5.3106744556558685E-3</v>
      </c>
      <c r="BH5" s="6">
        <v>0</v>
      </c>
      <c r="BI5" s="6">
        <v>2.0446096654275093E-2</v>
      </c>
      <c r="BJ5" s="6">
        <v>0</v>
      </c>
      <c r="BK5" s="6">
        <v>6.6383430695698357E-3</v>
      </c>
      <c r="BL5" s="6">
        <v>2.1508231545406268E-2</v>
      </c>
      <c r="BM5" s="6">
        <v>1.5932023366967606E-2</v>
      </c>
      <c r="BN5" s="6">
        <v>7.9660116834838024E-4</v>
      </c>
      <c r="BO5" s="6">
        <v>2.6553372278279339E-4</v>
      </c>
      <c r="BP5" s="6">
        <v>6.1869357408390863E-2</v>
      </c>
      <c r="BQ5" s="6">
        <v>0</v>
      </c>
      <c r="BR5" s="6">
        <v>1.5932023366967605E-3</v>
      </c>
      <c r="BS5" s="6">
        <v>1.5932023366967605E-3</v>
      </c>
      <c r="BT5" s="6">
        <v>6.5852363250132773E-2</v>
      </c>
      <c r="BU5" s="6">
        <v>3.186404673393521E-3</v>
      </c>
      <c r="BV5" s="6">
        <v>4.1688794476898564E-2</v>
      </c>
      <c r="BW5" s="6">
        <v>1.5400955921402018E-2</v>
      </c>
    </row>
    <row r="6" spans="1:75">
      <c r="A6" s="5" t="s">
        <v>1128</v>
      </c>
      <c r="B6" s="6">
        <v>4.076086956521739E-3</v>
      </c>
      <c r="C6" s="6">
        <v>3.3967391304347825E-3</v>
      </c>
      <c r="D6" s="6">
        <v>2.717391304347826E-3</v>
      </c>
      <c r="E6" s="6">
        <v>0</v>
      </c>
      <c r="F6" s="6">
        <v>0</v>
      </c>
      <c r="G6" s="6">
        <v>0</v>
      </c>
      <c r="H6" s="6">
        <v>1.358695652173913E-3</v>
      </c>
      <c r="I6" s="6">
        <v>3.3967391304347825E-3</v>
      </c>
      <c r="J6" s="6">
        <v>4.0081521739130432E-2</v>
      </c>
      <c r="K6" s="6">
        <v>2.1059782608695652E-2</v>
      </c>
      <c r="L6" s="6">
        <v>2.0380434782608695E-3</v>
      </c>
      <c r="M6" s="6">
        <v>0.11209239130434782</v>
      </c>
      <c r="N6" s="6">
        <v>4.4157608695652176E-2</v>
      </c>
      <c r="O6" s="6">
        <v>5.6385869565217392E-2</v>
      </c>
      <c r="P6" s="6">
        <v>2.717391304347826E-3</v>
      </c>
      <c r="Q6" s="6">
        <v>0</v>
      </c>
      <c r="R6" s="6">
        <v>6.793478260869565E-3</v>
      </c>
      <c r="S6" s="6">
        <v>0</v>
      </c>
      <c r="T6" s="6">
        <v>0</v>
      </c>
      <c r="U6" s="6">
        <v>1.358695652173913E-3</v>
      </c>
      <c r="V6" s="6">
        <v>1.0869565217391304E-2</v>
      </c>
      <c r="W6" s="6">
        <v>6.793478260869565E-3</v>
      </c>
      <c r="X6" s="6">
        <v>6.793478260869565E-4</v>
      </c>
      <c r="Y6" s="6">
        <v>6.793478260869565E-4</v>
      </c>
      <c r="Z6" s="6">
        <v>5.434782608695652E-3</v>
      </c>
      <c r="AA6" s="6">
        <v>3.3967391304347825E-3</v>
      </c>
      <c r="AB6" s="6">
        <v>3.3967391304347824E-2</v>
      </c>
      <c r="AC6" s="6">
        <v>0</v>
      </c>
      <c r="AD6" s="6">
        <v>4.755434782608696E-3</v>
      </c>
      <c r="AE6" s="6">
        <v>2.0380434782608695E-3</v>
      </c>
      <c r="AF6" s="6">
        <v>3.125E-2</v>
      </c>
      <c r="AG6" s="6">
        <v>5.434782608695652E-3</v>
      </c>
      <c r="AH6" s="6">
        <v>6.25E-2</v>
      </c>
      <c r="AI6" s="6">
        <v>2.0380434782608696E-2</v>
      </c>
      <c r="AJ6" s="6">
        <v>2.0380434782608695E-3</v>
      </c>
      <c r="AK6" s="6">
        <v>0</v>
      </c>
      <c r="AL6" s="6">
        <v>0</v>
      </c>
      <c r="AM6" s="6">
        <v>0</v>
      </c>
      <c r="AN6" s="6">
        <v>6.793478260869565E-4</v>
      </c>
      <c r="AO6" s="6">
        <v>0</v>
      </c>
      <c r="AP6" s="6">
        <v>3.8043478260869568E-2</v>
      </c>
      <c r="AQ6" s="6">
        <v>0</v>
      </c>
      <c r="AR6" s="6">
        <v>6.793478260869565E-4</v>
      </c>
      <c r="AS6" s="6">
        <v>1.358695652173913E-3</v>
      </c>
      <c r="AT6" s="6">
        <v>6.5896739130434784E-2</v>
      </c>
      <c r="AU6" s="6">
        <v>4.755434782608696E-3</v>
      </c>
      <c r="AV6" s="6">
        <v>0</v>
      </c>
      <c r="AW6" s="6">
        <v>0</v>
      </c>
      <c r="AX6" s="6">
        <v>4.755434782608696E-3</v>
      </c>
      <c r="AY6" s="6">
        <v>2.0380434782608695E-3</v>
      </c>
      <c r="AZ6" s="6">
        <v>1.6304347826086956E-2</v>
      </c>
      <c r="BA6" s="6">
        <v>2.717391304347826E-3</v>
      </c>
      <c r="BB6" s="6">
        <v>0</v>
      </c>
      <c r="BC6" s="6">
        <v>6.793478260869565E-4</v>
      </c>
      <c r="BD6" s="6">
        <v>5.9103260869565216E-2</v>
      </c>
      <c r="BE6" s="6">
        <v>1.9021739130434784E-2</v>
      </c>
      <c r="BF6" s="6">
        <v>0</v>
      </c>
      <c r="BG6" s="6">
        <v>1.358695652173913E-3</v>
      </c>
      <c r="BH6" s="6">
        <v>6.793478260869565E-4</v>
      </c>
      <c r="BI6" s="6">
        <v>2.4456521739130436E-2</v>
      </c>
      <c r="BJ6" s="6">
        <v>0</v>
      </c>
      <c r="BK6" s="6">
        <v>4.076086956521739E-3</v>
      </c>
      <c r="BL6" s="6">
        <v>3.872282608695652E-2</v>
      </c>
      <c r="BM6" s="6">
        <v>8.8315217391304341E-3</v>
      </c>
      <c r="BN6" s="6">
        <v>0</v>
      </c>
      <c r="BO6" s="6">
        <v>0</v>
      </c>
      <c r="BP6" s="6">
        <v>9.1032608695652176E-2</v>
      </c>
      <c r="BQ6" s="6">
        <v>0</v>
      </c>
      <c r="BR6" s="6">
        <v>0</v>
      </c>
      <c r="BS6" s="6">
        <v>6.793478260869565E-4</v>
      </c>
      <c r="BT6" s="6">
        <v>6.7255434782608689E-2</v>
      </c>
      <c r="BU6" s="6">
        <v>2.717391304347826E-3</v>
      </c>
      <c r="BV6" s="6">
        <v>4.0081521739130432E-2</v>
      </c>
      <c r="BW6" s="6">
        <v>1.2228260869565218E-2</v>
      </c>
    </row>
    <row r="7" spans="1:75">
      <c r="A7" s="5" t="s">
        <v>1045</v>
      </c>
      <c r="B7" s="6">
        <v>0</v>
      </c>
      <c r="C7" s="6">
        <v>2.4834437086092716E-3</v>
      </c>
      <c r="D7" s="6">
        <v>1.6556291390728477E-3</v>
      </c>
      <c r="E7" s="6">
        <v>2.4834437086092716E-3</v>
      </c>
      <c r="F7" s="6">
        <v>4.1390728476821192E-4</v>
      </c>
      <c r="G7" s="6">
        <v>4.1390728476821192E-4</v>
      </c>
      <c r="H7" s="6">
        <v>3.3112582781456954E-3</v>
      </c>
      <c r="I7" s="6">
        <v>6.6225165562913907E-3</v>
      </c>
      <c r="J7" s="6">
        <v>4.677152317880795E-2</v>
      </c>
      <c r="K7" s="6">
        <v>2.8145695364238412E-2</v>
      </c>
      <c r="L7" s="6">
        <v>2.0695364238410598E-3</v>
      </c>
      <c r="M7" s="6">
        <v>0.10140728476821192</v>
      </c>
      <c r="N7" s="6">
        <v>4.0149006622516553E-2</v>
      </c>
      <c r="O7" s="6">
        <v>8.8162251655629145E-2</v>
      </c>
      <c r="P7" s="6">
        <v>2.8973509933774835E-3</v>
      </c>
      <c r="Q7" s="6">
        <v>0</v>
      </c>
      <c r="R7" s="6">
        <v>2.8973509933774835E-3</v>
      </c>
      <c r="S7" s="6">
        <v>0</v>
      </c>
      <c r="T7" s="6">
        <v>4.1390728476821192E-4</v>
      </c>
      <c r="U7" s="6">
        <v>1.2417218543046358E-3</v>
      </c>
      <c r="V7" s="6">
        <v>1.1589403973509934E-2</v>
      </c>
      <c r="W7" s="6">
        <v>4.552980132450331E-3</v>
      </c>
      <c r="X7" s="6">
        <v>0</v>
      </c>
      <c r="Y7" s="6">
        <v>1.6556291390728477E-3</v>
      </c>
      <c r="Z7" s="6">
        <v>2.0695364238410598E-3</v>
      </c>
      <c r="AA7" s="6">
        <v>1.2417218543046358E-3</v>
      </c>
      <c r="AB7" s="6">
        <v>3.3526490066225163E-2</v>
      </c>
      <c r="AC7" s="6">
        <v>1.2417218543046358E-3</v>
      </c>
      <c r="AD7" s="6">
        <v>6.6225165562913907E-3</v>
      </c>
      <c r="AE7" s="6">
        <v>2.0695364238410598E-3</v>
      </c>
      <c r="AF7" s="6">
        <v>2.1109271523178808E-2</v>
      </c>
      <c r="AG7" s="6">
        <v>9.9337748344370865E-3</v>
      </c>
      <c r="AH7" s="6">
        <v>9.35430463576159E-2</v>
      </c>
      <c r="AI7" s="6">
        <v>1.9039735099337748E-2</v>
      </c>
      <c r="AJ7" s="6">
        <v>2.8973509933774835E-3</v>
      </c>
      <c r="AK7" s="6">
        <v>8.2781456953642384E-4</v>
      </c>
      <c r="AL7" s="6">
        <v>4.1390728476821192E-4</v>
      </c>
      <c r="AM7" s="6">
        <v>0</v>
      </c>
      <c r="AN7" s="6">
        <v>0</v>
      </c>
      <c r="AO7" s="6">
        <v>8.2781456953642384E-4</v>
      </c>
      <c r="AP7" s="6">
        <v>2.3178807947019868E-2</v>
      </c>
      <c r="AQ7" s="6">
        <v>0</v>
      </c>
      <c r="AR7" s="6">
        <v>0</v>
      </c>
      <c r="AS7" s="6">
        <v>2.4834437086092716E-3</v>
      </c>
      <c r="AT7" s="6">
        <v>6.8294701986754969E-2</v>
      </c>
      <c r="AU7" s="6">
        <v>4.1390728476821195E-3</v>
      </c>
      <c r="AV7" s="6">
        <v>0</v>
      </c>
      <c r="AW7" s="6">
        <v>0</v>
      </c>
      <c r="AX7" s="6">
        <v>7.4503311258278145E-3</v>
      </c>
      <c r="AY7" s="6">
        <v>2.0695364238410598E-3</v>
      </c>
      <c r="AZ7" s="6">
        <v>9.9337748344370865E-3</v>
      </c>
      <c r="BA7" s="6">
        <v>1.6556291390728477E-3</v>
      </c>
      <c r="BB7" s="6">
        <v>4.1390728476821192E-4</v>
      </c>
      <c r="BC7" s="6">
        <v>2.0695364238410598E-3</v>
      </c>
      <c r="BD7" s="6">
        <v>6.498344370860927E-2</v>
      </c>
      <c r="BE7" s="6">
        <v>7.8642384105960268E-3</v>
      </c>
      <c r="BF7" s="6">
        <v>4.1390728476821192E-4</v>
      </c>
      <c r="BG7" s="6">
        <v>2.8973509933774835E-3</v>
      </c>
      <c r="BH7" s="6">
        <v>4.1390728476821192E-4</v>
      </c>
      <c r="BI7" s="6">
        <v>1.9453642384105959E-2</v>
      </c>
      <c r="BJ7" s="6">
        <v>0</v>
      </c>
      <c r="BK7" s="6">
        <v>2.8973509933774835E-3</v>
      </c>
      <c r="BL7" s="6">
        <v>3.6837748344370862E-2</v>
      </c>
      <c r="BM7" s="6">
        <v>1.6556291390728478E-2</v>
      </c>
      <c r="BN7" s="6">
        <v>4.1390728476821192E-4</v>
      </c>
      <c r="BO7" s="6">
        <v>0</v>
      </c>
      <c r="BP7" s="6">
        <v>6.0430463576158944E-2</v>
      </c>
      <c r="BQ7" s="6">
        <v>4.1390728476821192E-4</v>
      </c>
      <c r="BR7" s="6">
        <v>1.6556291390728477E-3</v>
      </c>
      <c r="BS7" s="6">
        <v>0</v>
      </c>
      <c r="BT7" s="6">
        <v>3.8907284768211918E-2</v>
      </c>
      <c r="BU7" s="6">
        <v>1.2417218543046358E-3</v>
      </c>
      <c r="BV7" s="6">
        <v>6.4569536423841056E-2</v>
      </c>
      <c r="BW7" s="6">
        <v>1.3658940397350994E-2</v>
      </c>
    </row>
    <row r="8" spans="1:75">
      <c r="A8" s="5" t="s">
        <v>948</v>
      </c>
      <c r="B8" s="6">
        <v>8.9405453732677696E-4</v>
      </c>
      <c r="C8" s="6">
        <v>6.2583817612874388E-3</v>
      </c>
      <c r="D8" s="6">
        <v>3.1291908806437194E-3</v>
      </c>
      <c r="E8" s="6">
        <v>4.4702726866338848E-4</v>
      </c>
      <c r="F8" s="6">
        <v>0</v>
      </c>
      <c r="G8" s="6">
        <v>8.9405453732677696E-4</v>
      </c>
      <c r="H8" s="6">
        <v>4.4702726866338848E-4</v>
      </c>
      <c r="I8" s="6">
        <v>6.2583817612874388E-3</v>
      </c>
      <c r="J8" s="6">
        <v>3.9785426911041574E-2</v>
      </c>
      <c r="K8" s="6">
        <v>2.7715690657130084E-2</v>
      </c>
      <c r="L8" s="6">
        <v>2.2351363433169421E-3</v>
      </c>
      <c r="M8" s="6">
        <v>7.3312472060795705E-2</v>
      </c>
      <c r="N8" s="6">
        <v>4.2914617791685296E-2</v>
      </c>
      <c r="O8" s="6">
        <v>0.10102816271792579</v>
      </c>
      <c r="P8" s="6">
        <v>5.364327223960662E-3</v>
      </c>
      <c r="Q8" s="6">
        <v>4.4702726866338848E-4</v>
      </c>
      <c r="R8" s="6">
        <v>6.7054090299508273E-3</v>
      </c>
      <c r="S8" s="6">
        <v>0</v>
      </c>
      <c r="T8" s="6">
        <v>4.4702726866338848E-4</v>
      </c>
      <c r="U8" s="6">
        <v>2.2351363433169421E-3</v>
      </c>
      <c r="V8" s="6">
        <v>1.0281627179257935E-2</v>
      </c>
      <c r="W8" s="6">
        <v>5.364327223960662E-3</v>
      </c>
      <c r="X8" s="6">
        <v>1.7881090746535539E-3</v>
      </c>
      <c r="Y8" s="6">
        <v>2.2351363433169421E-3</v>
      </c>
      <c r="Z8" s="6">
        <v>2.2351363433169421E-3</v>
      </c>
      <c r="AA8" s="6">
        <v>0</v>
      </c>
      <c r="AB8" s="6">
        <v>2.9503799731783638E-2</v>
      </c>
      <c r="AC8" s="6">
        <v>0</v>
      </c>
      <c r="AD8" s="6">
        <v>6.7054090299508273E-3</v>
      </c>
      <c r="AE8" s="6">
        <v>1.3410818059901655E-3</v>
      </c>
      <c r="AF8" s="6">
        <v>3.4868126955744302E-2</v>
      </c>
      <c r="AG8" s="6">
        <v>1.3410818059901655E-3</v>
      </c>
      <c r="AH8" s="6">
        <v>7.7335717478766206E-2</v>
      </c>
      <c r="AI8" s="6">
        <v>2.2351363433169423E-2</v>
      </c>
      <c r="AJ8" s="6">
        <v>2.2351363433169421E-3</v>
      </c>
      <c r="AK8" s="6">
        <v>0</v>
      </c>
      <c r="AL8" s="6">
        <v>4.4702726866338848E-4</v>
      </c>
      <c r="AM8" s="6">
        <v>0</v>
      </c>
      <c r="AN8" s="6">
        <v>8.9405453732677696E-4</v>
      </c>
      <c r="AO8" s="6">
        <v>4.4702726866338848E-4</v>
      </c>
      <c r="AP8" s="6">
        <v>4.6490835940992403E-2</v>
      </c>
      <c r="AQ8" s="6">
        <v>8.9405453732677696E-4</v>
      </c>
      <c r="AR8" s="6">
        <v>0</v>
      </c>
      <c r="AS8" s="6">
        <v>8.9405453732677696E-4</v>
      </c>
      <c r="AT8" s="6">
        <v>6.6160035762181491E-2</v>
      </c>
      <c r="AU8" s="6">
        <v>9.3875726419311578E-3</v>
      </c>
      <c r="AV8" s="6">
        <v>0</v>
      </c>
      <c r="AW8" s="6">
        <v>0</v>
      </c>
      <c r="AX8" s="6">
        <v>4.9172999552972736E-3</v>
      </c>
      <c r="AY8" s="6">
        <v>6.2583817612874388E-3</v>
      </c>
      <c r="AZ8" s="6">
        <v>7.1524362986142157E-3</v>
      </c>
      <c r="BA8" s="6">
        <v>3.1291908806437194E-3</v>
      </c>
      <c r="BB8" s="6">
        <v>0</v>
      </c>
      <c r="BC8" s="6">
        <v>4.4702726866338848E-4</v>
      </c>
      <c r="BD8" s="6">
        <v>6.4818953956191333E-2</v>
      </c>
      <c r="BE8" s="6">
        <v>1.3410818059901655E-2</v>
      </c>
      <c r="BF8" s="6">
        <v>4.4702726866338848E-4</v>
      </c>
      <c r="BG8" s="6">
        <v>7.5994635672776041E-3</v>
      </c>
      <c r="BH8" s="6">
        <v>0</v>
      </c>
      <c r="BI8" s="6">
        <v>2.3245417970496202E-2</v>
      </c>
      <c r="BJ8" s="6">
        <v>0</v>
      </c>
      <c r="BK8" s="6">
        <v>8.9405453732677696E-4</v>
      </c>
      <c r="BL8" s="6">
        <v>3.0397854269110416E-2</v>
      </c>
      <c r="BM8" s="6">
        <v>1.1622708985248101E-2</v>
      </c>
      <c r="BN8" s="6">
        <v>0</v>
      </c>
      <c r="BO8" s="6">
        <v>0</v>
      </c>
      <c r="BP8" s="6">
        <v>6.6160035762181491E-2</v>
      </c>
      <c r="BQ8" s="6">
        <v>0</v>
      </c>
      <c r="BR8" s="6">
        <v>2.682163611980331E-3</v>
      </c>
      <c r="BS8" s="6">
        <v>1.3410818059901655E-3</v>
      </c>
      <c r="BT8" s="6">
        <v>4.9620026821636118E-2</v>
      </c>
      <c r="BU8" s="6">
        <v>4.0232454179704958E-3</v>
      </c>
      <c r="BV8" s="6">
        <v>5.0067054090299511E-2</v>
      </c>
      <c r="BW8" s="6">
        <v>8.0464908359409917E-3</v>
      </c>
    </row>
    <row r="9" spans="1:75">
      <c r="A9" s="5" t="s">
        <v>1040</v>
      </c>
      <c r="B9" s="6">
        <v>3.0224525043177895E-3</v>
      </c>
      <c r="C9" s="6">
        <v>3.0224525043177895E-3</v>
      </c>
      <c r="D9" s="6">
        <v>0</v>
      </c>
      <c r="E9" s="6">
        <v>1.7271157167530224E-3</v>
      </c>
      <c r="F9" s="6">
        <v>0</v>
      </c>
      <c r="G9" s="6">
        <v>8.6355785837651119E-4</v>
      </c>
      <c r="H9" s="6">
        <v>1.2953367875647669E-3</v>
      </c>
      <c r="I9" s="6">
        <v>3.0224525043177895E-3</v>
      </c>
      <c r="J9" s="6">
        <v>3.4110535405872194E-2</v>
      </c>
      <c r="K9" s="6">
        <v>2.4179620034542316E-2</v>
      </c>
      <c r="L9" s="6">
        <v>3.0224525043177895E-3</v>
      </c>
      <c r="M9" s="6">
        <v>9.9309153713298792E-2</v>
      </c>
      <c r="N9" s="6">
        <v>3.5837651122625214E-2</v>
      </c>
      <c r="O9" s="6">
        <v>0.1040587219343696</v>
      </c>
      <c r="P9" s="6">
        <v>3.4542314335060447E-3</v>
      </c>
      <c r="Q9" s="6">
        <v>2.1588946459412781E-3</v>
      </c>
      <c r="R9" s="6">
        <v>5.6131260794473233E-3</v>
      </c>
      <c r="S9" s="6">
        <v>0</v>
      </c>
      <c r="T9" s="6">
        <v>4.3177892918825559E-4</v>
      </c>
      <c r="U9" s="6">
        <v>3.0224525043177895E-3</v>
      </c>
      <c r="V9" s="6">
        <v>9.4991364421416237E-3</v>
      </c>
      <c r="W9" s="6">
        <v>4.7495682210708118E-3</v>
      </c>
      <c r="X9" s="6">
        <v>3.0224525043177895E-3</v>
      </c>
      <c r="Y9" s="6">
        <v>2.1588946459412781E-3</v>
      </c>
      <c r="Z9" s="6">
        <v>2.1588946459412781E-3</v>
      </c>
      <c r="AA9" s="6">
        <v>3.0224525043177895E-3</v>
      </c>
      <c r="AB9" s="6">
        <v>4.2746113989637305E-2</v>
      </c>
      <c r="AC9" s="6">
        <v>4.3177892918825559E-4</v>
      </c>
      <c r="AD9" s="6">
        <v>6.044905008635579E-3</v>
      </c>
      <c r="AE9" s="6">
        <v>1.2953367875647669E-3</v>
      </c>
      <c r="AF9" s="6">
        <v>1.4248704663212436E-2</v>
      </c>
      <c r="AG9" s="6">
        <v>4.7495682210708118E-3</v>
      </c>
      <c r="AH9" s="6">
        <v>7.1675302245250427E-2</v>
      </c>
      <c r="AI9" s="6">
        <v>1.9430051813471502E-2</v>
      </c>
      <c r="AJ9" s="6">
        <v>3.0224525043177895E-3</v>
      </c>
      <c r="AK9" s="6">
        <v>0</v>
      </c>
      <c r="AL9" s="6">
        <v>8.6355785837651119E-4</v>
      </c>
      <c r="AM9" s="6">
        <v>0</v>
      </c>
      <c r="AN9" s="6">
        <v>1.2953367875647669E-3</v>
      </c>
      <c r="AO9" s="6">
        <v>2.1588946459412781E-3</v>
      </c>
      <c r="AP9" s="6">
        <v>5.0949913644214161E-2</v>
      </c>
      <c r="AQ9" s="6">
        <v>4.3177892918825559E-4</v>
      </c>
      <c r="AR9" s="6">
        <v>0</v>
      </c>
      <c r="AS9" s="6">
        <v>2.1588946459412781E-3</v>
      </c>
      <c r="AT9" s="6">
        <v>5.3540587219343697E-2</v>
      </c>
      <c r="AU9" s="6">
        <v>3.8860103626943004E-3</v>
      </c>
      <c r="AV9" s="6">
        <v>0</v>
      </c>
      <c r="AW9" s="6">
        <v>0</v>
      </c>
      <c r="AX9" s="6">
        <v>6.4766839378238338E-3</v>
      </c>
      <c r="AY9" s="6">
        <v>1.2953367875647669E-3</v>
      </c>
      <c r="AZ9" s="6">
        <v>5.1813471502590676E-3</v>
      </c>
      <c r="BA9" s="6">
        <v>5.1813471502590676E-3</v>
      </c>
      <c r="BB9" s="6">
        <v>4.3177892918825559E-4</v>
      </c>
      <c r="BC9" s="6">
        <v>1.7271157167530224E-3</v>
      </c>
      <c r="BD9" s="6">
        <v>5.4404145077720206E-2</v>
      </c>
      <c r="BE9" s="6">
        <v>9.4991364421416237E-3</v>
      </c>
      <c r="BF9" s="6">
        <v>4.3177892918825559E-4</v>
      </c>
      <c r="BG9" s="6">
        <v>4.3177892918825561E-3</v>
      </c>
      <c r="BH9" s="6">
        <v>4.3177892918825559E-4</v>
      </c>
      <c r="BI9" s="6">
        <v>2.158894645941278E-2</v>
      </c>
      <c r="BJ9" s="6">
        <v>0</v>
      </c>
      <c r="BK9" s="6">
        <v>2.1588946459412781E-3</v>
      </c>
      <c r="BL9" s="6">
        <v>4.0155440414507769E-2</v>
      </c>
      <c r="BM9" s="6">
        <v>1.2089810017271158E-2</v>
      </c>
      <c r="BN9" s="6">
        <v>0</v>
      </c>
      <c r="BO9" s="6">
        <v>4.3177892918825559E-4</v>
      </c>
      <c r="BP9" s="6">
        <v>6.3039723661485317E-2</v>
      </c>
      <c r="BQ9" s="6">
        <v>0</v>
      </c>
      <c r="BR9" s="6">
        <v>2.5906735751295338E-3</v>
      </c>
      <c r="BS9" s="6">
        <v>4.3177892918825559E-4</v>
      </c>
      <c r="BT9" s="6">
        <v>5.3540587219343697E-2</v>
      </c>
      <c r="BU9" s="6">
        <v>2.5906735751295338E-3</v>
      </c>
      <c r="BV9" s="6">
        <v>5.6994818652849742E-2</v>
      </c>
      <c r="BW9" s="6">
        <v>2.3316062176165803E-2</v>
      </c>
    </row>
    <row r="10" spans="1:75">
      <c r="A10" s="5" t="s">
        <v>913</v>
      </c>
      <c r="B10" s="6">
        <v>1.6018306636155606E-3</v>
      </c>
      <c r="C10" s="6">
        <v>2.8985507246376812E-3</v>
      </c>
      <c r="D10" s="6">
        <v>1.983218916857361E-3</v>
      </c>
      <c r="E10" s="6">
        <v>1.3729977116704805E-3</v>
      </c>
      <c r="F10" s="6">
        <v>4.5766590389016021E-4</v>
      </c>
      <c r="G10" s="6">
        <v>3.8138825324180017E-4</v>
      </c>
      <c r="H10" s="6">
        <v>1.4492753623188406E-3</v>
      </c>
      <c r="I10" s="6">
        <v>2.6697177726926011E-3</v>
      </c>
      <c r="J10" s="6">
        <v>3.9206712433257053E-2</v>
      </c>
      <c r="K10" s="6">
        <v>2.8375286041189933E-2</v>
      </c>
      <c r="L10" s="6">
        <v>1.983218916857361E-3</v>
      </c>
      <c r="M10" s="6">
        <v>8.24561403508772E-2</v>
      </c>
      <c r="N10" s="6">
        <v>3.7528604118993135E-2</v>
      </c>
      <c r="O10" s="6">
        <v>0.10175438596491228</v>
      </c>
      <c r="P10" s="6">
        <v>4.5003813882532415E-3</v>
      </c>
      <c r="Q10" s="6">
        <v>2.288329519450801E-4</v>
      </c>
      <c r="R10" s="6">
        <v>4.5766590389016018E-3</v>
      </c>
      <c r="S10" s="6">
        <v>0</v>
      </c>
      <c r="T10" s="6">
        <v>4.5766590389016021E-4</v>
      </c>
      <c r="U10" s="6">
        <v>1.5255530129672007E-3</v>
      </c>
      <c r="V10" s="6">
        <v>1.0144927536231883E-2</v>
      </c>
      <c r="W10" s="6">
        <v>9.2295957284515631E-3</v>
      </c>
      <c r="X10" s="6">
        <v>1.3729977116704805E-3</v>
      </c>
      <c r="Y10" s="6">
        <v>2.8985507246376812E-3</v>
      </c>
      <c r="Z10" s="6">
        <v>2.3646071700991608E-3</v>
      </c>
      <c r="AA10" s="6">
        <v>2.212051868802441E-3</v>
      </c>
      <c r="AB10" s="6">
        <v>3.4935163996948897E-2</v>
      </c>
      <c r="AC10" s="6">
        <v>3.0511060259344014E-4</v>
      </c>
      <c r="AD10" s="6">
        <v>7.0938215102974832E-3</v>
      </c>
      <c r="AE10" s="6">
        <v>1.5255530129672007E-3</v>
      </c>
      <c r="AF10" s="6">
        <v>2.2425629290617848E-2</v>
      </c>
      <c r="AG10" s="6">
        <v>4.9580472921434016E-3</v>
      </c>
      <c r="AH10" s="6">
        <v>7.3836765827612505E-2</v>
      </c>
      <c r="AI10" s="6">
        <v>2.0289855072463767E-2</v>
      </c>
      <c r="AJ10" s="6">
        <v>3.2799389778794814E-3</v>
      </c>
      <c r="AK10" s="6">
        <v>1.5255530129672007E-4</v>
      </c>
      <c r="AL10" s="6">
        <v>5.3394355453852019E-4</v>
      </c>
      <c r="AM10" s="6">
        <v>0</v>
      </c>
      <c r="AN10" s="6">
        <v>1.5255530129672007E-3</v>
      </c>
      <c r="AO10" s="6">
        <v>1.2967200610221204E-3</v>
      </c>
      <c r="AP10" s="6">
        <v>4.6071700991609461E-2</v>
      </c>
      <c r="AQ10" s="6">
        <v>3.8138825324180017E-4</v>
      </c>
      <c r="AR10" s="6">
        <v>7.6277650648360034E-5</v>
      </c>
      <c r="AS10" s="6">
        <v>1.2967200610221204E-3</v>
      </c>
      <c r="AT10" s="6">
        <v>7.6277650648360035E-2</v>
      </c>
      <c r="AU10" s="6">
        <v>6.0259344012204424E-3</v>
      </c>
      <c r="AV10" s="6">
        <v>1.5255530129672007E-4</v>
      </c>
      <c r="AW10" s="6">
        <v>5.3394355453852019E-4</v>
      </c>
      <c r="AX10" s="6">
        <v>4.0427154843630814E-3</v>
      </c>
      <c r="AY10" s="6">
        <v>2.2883295194508009E-3</v>
      </c>
      <c r="AZ10" s="6">
        <v>1.3958810068649886E-2</v>
      </c>
      <c r="BA10" s="6">
        <v>2.517162471395881E-3</v>
      </c>
      <c r="BB10" s="6">
        <v>2.288329519450801E-4</v>
      </c>
      <c r="BC10" s="6">
        <v>2.212051868802441E-3</v>
      </c>
      <c r="BD10" s="6">
        <v>7.2463768115942032E-2</v>
      </c>
      <c r="BE10" s="6">
        <v>1.2509534706331045E-2</v>
      </c>
      <c r="BF10" s="6">
        <v>5.3394355453852019E-4</v>
      </c>
      <c r="BG10" s="6">
        <v>3.5850495804729213E-3</v>
      </c>
      <c r="BH10" s="6">
        <v>4.5766590389016021E-4</v>
      </c>
      <c r="BI10" s="6">
        <v>2.0900076277650649E-2</v>
      </c>
      <c r="BJ10" s="6">
        <v>7.6277650648360034E-5</v>
      </c>
      <c r="BK10" s="6">
        <v>1.4492753623188406E-3</v>
      </c>
      <c r="BL10" s="6">
        <v>3.1045003813882532E-2</v>
      </c>
      <c r="BM10" s="6">
        <v>1.9221967963386728E-2</v>
      </c>
      <c r="BN10" s="6">
        <v>7.6277650648360034E-4</v>
      </c>
      <c r="BO10" s="6">
        <v>1.5255530129672007E-4</v>
      </c>
      <c r="BP10" s="6">
        <v>4.820747520976354E-2</v>
      </c>
      <c r="BQ10" s="6">
        <v>0</v>
      </c>
      <c r="BR10" s="6">
        <v>8.3905415713196032E-4</v>
      </c>
      <c r="BS10" s="6">
        <v>7.6277650648360034E-4</v>
      </c>
      <c r="BT10" s="6">
        <v>3.6613272311212815E-2</v>
      </c>
      <c r="BU10" s="6">
        <v>1.2204424103737605E-3</v>
      </c>
      <c r="BV10" s="6">
        <v>6.3539282990083906E-2</v>
      </c>
      <c r="BW10" s="6">
        <v>1.3806254767353166E-2</v>
      </c>
    </row>
    <row r="11" spans="1:75">
      <c r="A11" s="5" t="s">
        <v>1027</v>
      </c>
      <c r="B11" s="6">
        <v>1.9102196752626551E-3</v>
      </c>
      <c r="C11" s="6">
        <v>6.6857688634192934E-3</v>
      </c>
      <c r="D11" s="6">
        <v>0</v>
      </c>
      <c r="E11" s="6">
        <v>9.5510983763132757E-4</v>
      </c>
      <c r="F11" s="6">
        <v>0</v>
      </c>
      <c r="G11" s="6">
        <v>0</v>
      </c>
      <c r="H11" s="6">
        <v>9.5510983763132757E-4</v>
      </c>
      <c r="I11" s="6">
        <v>3.8204393505253103E-3</v>
      </c>
      <c r="J11" s="6">
        <v>5.3486150907354348E-2</v>
      </c>
      <c r="K11" s="6">
        <v>3.3428844317096466E-2</v>
      </c>
      <c r="L11" s="6">
        <v>9.5510983763132757E-4</v>
      </c>
      <c r="M11" s="6">
        <v>8.5959885386819479E-2</v>
      </c>
      <c r="N11" s="6">
        <v>4.2024832855778411E-2</v>
      </c>
      <c r="O11" s="6">
        <v>6.6857688634192933E-2</v>
      </c>
      <c r="P11" s="6">
        <v>3.8204393505253103E-3</v>
      </c>
      <c r="Q11" s="6">
        <v>0</v>
      </c>
      <c r="R11" s="6">
        <v>6.6857688634192934E-3</v>
      </c>
      <c r="S11" s="6">
        <v>0</v>
      </c>
      <c r="T11" s="6">
        <v>9.5510983763132757E-4</v>
      </c>
      <c r="U11" s="6">
        <v>4.7755491881566383E-3</v>
      </c>
      <c r="V11" s="6">
        <v>8.5959885386819486E-3</v>
      </c>
      <c r="W11" s="6">
        <v>6.6857688634192934E-3</v>
      </c>
      <c r="X11" s="6">
        <v>9.5510983763132757E-4</v>
      </c>
      <c r="Y11" s="6">
        <v>2.8653295128939827E-3</v>
      </c>
      <c r="Z11" s="6">
        <v>0</v>
      </c>
      <c r="AA11" s="6">
        <v>3.8204393505253103E-3</v>
      </c>
      <c r="AB11" s="6">
        <v>4.3935052531041068E-2</v>
      </c>
      <c r="AC11" s="6">
        <v>0</v>
      </c>
      <c r="AD11" s="6">
        <v>7.6408787010506206E-3</v>
      </c>
      <c r="AE11" s="6">
        <v>2.8653295128939827E-3</v>
      </c>
      <c r="AF11" s="6">
        <v>2.4832855778414518E-2</v>
      </c>
      <c r="AG11" s="6">
        <v>7.6408787010506206E-3</v>
      </c>
      <c r="AH11" s="6">
        <v>7.3543457497612222E-2</v>
      </c>
      <c r="AI11" s="6">
        <v>1.3371537726838587E-2</v>
      </c>
      <c r="AJ11" s="6">
        <v>2.8653295128939827E-3</v>
      </c>
      <c r="AK11" s="6">
        <v>0</v>
      </c>
      <c r="AL11" s="6">
        <v>9.5510983763132757E-4</v>
      </c>
      <c r="AM11" s="6">
        <v>0</v>
      </c>
      <c r="AN11" s="6">
        <v>9.5510983763132757E-4</v>
      </c>
      <c r="AO11" s="6">
        <v>9.5510983763132757E-4</v>
      </c>
      <c r="AP11" s="6">
        <v>5.0620821394460364E-2</v>
      </c>
      <c r="AQ11" s="6">
        <v>0</v>
      </c>
      <c r="AR11" s="6">
        <v>0</v>
      </c>
      <c r="AS11" s="6">
        <v>2.8653295128939827E-3</v>
      </c>
      <c r="AT11" s="6">
        <v>5.1575931232091692E-2</v>
      </c>
      <c r="AU11" s="6">
        <v>5.7306590257879654E-3</v>
      </c>
      <c r="AV11" s="6">
        <v>0</v>
      </c>
      <c r="AW11" s="6">
        <v>0</v>
      </c>
      <c r="AX11" s="6">
        <v>1.9102196752626551E-3</v>
      </c>
      <c r="AY11" s="6">
        <v>4.7755491881566383E-3</v>
      </c>
      <c r="AZ11" s="6">
        <v>7.6408787010506206E-3</v>
      </c>
      <c r="BA11" s="6">
        <v>4.7755491881566383E-3</v>
      </c>
      <c r="BB11" s="6">
        <v>0</v>
      </c>
      <c r="BC11" s="6">
        <v>2.8653295128939827E-3</v>
      </c>
      <c r="BD11" s="6">
        <v>6.4947468958930277E-2</v>
      </c>
      <c r="BE11" s="6">
        <v>1.8147086914995225E-2</v>
      </c>
      <c r="BF11" s="6">
        <v>1.9102196752626551E-3</v>
      </c>
      <c r="BG11" s="6">
        <v>2.8653295128939827E-3</v>
      </c>
      <c r="BH11" s="6">
        <v>0</v>
      </c>
      <c r="BI11" s="6">
        <v>2.6743075453677174E-2</v>
      </c>
      <c r="BJ11" s="6">
        <v>0</v>
      </c>
      <c r="BK11" s="6">
        <v>1.9102196752626551E-3</v>
      </c>
      <c r="BL11" s="6">
        <v>2.865329512893983E-2</v>
      </c>
      <c r="BM11" s="6">
        <v>1.5281757402101241E-2</v>
      </c>
      <c r="BN11" s="6">
        <v>9.5510983763132757E-4</v>
      </c>
      <c r="BO11" s="6">
        <v>0</v>
      </c>
      <c r="BP11" s="6">
        <v>5.8261700095510981E-2</v>
      </c>
      <c r="BQ11" s="6">
        <v>0</v>
      </c>
      <c r="BR11" s="6">
        <v>5.7306590257879654E-3</v>
      </c>
      <c r="BS11" s="6">
        <v>1.9102196752626551E-3</v>
      </c>
      <c r="BT11" s="6">
        <v>6.3037249283667621E-2</v>
      </c>
      <c r="BU11" s="6">
        <v>0</v>
      </c>
      <c r="BV11" s="6">
        <v>5.0620821394460364E-2</v>
      </c>
      <c r="BW11" s="6">
        <v>1.0506208213944603E-2</v>
      </c>
    </row>
    <row r="12" spans="1:75">
      <c r="A12" s="5" t="s">
        <v>1208</v>
      </c>
      <c r="B12" s="6">
        <v>1.8744142455482662E-3</v>
      </c>
      <c r="C12" s="6">
        <v>0</v>
      </c>
      <c r="D12" s="6">
        <v>9.372071227741331E-4</v>
      </c>
      <c r="E12" s="6">
        <v>1.8744142455482662E-3</v>
      </c>
      <c r="F12" s="6">
        <v>0</v>
      </c>
      <c r="G12" s="6">
        <v>0</v>
      </c>
      <c r="H12" s="6">
        <v>0</v>
      </c>
      <c r="I12" s="6">
        <v>9.372071227741331E-4</v>
      </c>
      <c r="J12" s="6">
        <v>4.9671977507029057E-2</v>
      </c>
      <c r="K12" s="6">
        <v>4.1237113402061855E-2</v>
      </c>
      <c r="L12" s="6">
        <v>9.372071227741331E-4</v>
      </c>
      <c r="M12" s="6">
        <v>0.10121836925960637</v>
      </c>
      <c r="N12" s="6">
        <v>2.7179006560449859E-2</v>
      </c>
      <c r="O12" s="6">
        <v>3.5613870665417061E-2</v>
      </c>
      <c r="P12" s="6">
        <v>0</v>
      </c>
      <c r="Q12" s="6">
        <v>0</v>
      </c>
      <c r="R12" s="6">
        <v>1.8744142455482662E-3</v>
      </c>
      <c r="S12" s="6">
        <v>0</v>
      </c>
      <c r="T12" s="6">
        <v>2.8116213683223993E-3</v>
      </c>
      <c r="U12" s="6">
        <v>0</v>
      </c>
      <c r="V12" s="6">
        <v>1.3120899718837863E-2</v>
      </c>
      <c r="W12" s="6">
        <v>1.8744142455482662E-3</v>
      </c>
      <c r="X12" s="6">
        <v>0</v>
      </c>
      <c r="Y12" s="6">
        <v>9.372071227741331E-4</v>
      </c>
      <c r="Z12" s="6">
        <v>9.372071227741331E-4</v>
      </c>
      <c r="AA12" s="6">
        <v>0</v>
      </c>
      <c r="AB12" s="6">
        <v>4.4048734770384255E-2</v>
      </c>
      <c r="AC12" s="6">
        <v>0</v>
      </c>
      <c r="AD12" s="6">
        <v>9.3720712277413302E-3</v>
      </c>
      <c r="AE12" s="6">
        <v>0</v>
      </c>
      <c r="AF12" s="6">
        <v>2.6241799437675725E-2</v>
      </c>
      <c r="AG12" s="6">
        <v>8.4348641049671984E-3</v>
      </c>
      <c r="AH12" s="6">
        <v>7.7788191190253042E-2</v>
      </c>
      <c r="AI12" s="6">
        <v>2.8116213683223992E-2</v>
      </c>
      <c r="AJ12" s="6">
        <v>3.7488284910965324E-3</v>
      </c>
      <c r="AK12" s="6">
        <v>3.7488284910965324E-3</v>
      </c>
      <c r="AL12" s="6">
        <v>0</v>
      </c>
      <c r="AM12" s="6">
        <v>0</v>
      </c>
      <c r="AN12" s="6">
        <v>1.8744142455482662E-3</v>
      </c>
      <c r="AO12" s="6">
        <v>2.8116213683223993E-3</v>
      </c>
      <c r="AP12" s="6">
        <v>3.1865042174320526E-2</v>
      </c>
      <c r="AQ12" s="6">
        <v>0</v>
      </c>
      <c r="AR12" s="6">
        <v>0</v>
      </c>
      <c r="AS12" s="6">
        <v>0</v>
      </c>
      <c r="AT12" s="6">
        <v>8.4348641049671977E-2</v>
      </c>
      <c r="AU12" s="6">
        <v>9.3720712277413302E-3</v>
      </c>
      <c r="AV12" s="6">
        <v>0</v>
      </c>
      <c r="AW12" s="6">
        <v>1.8744142455482662E-3</v>
      </c>
      <c r="AX12" s="6">
        <v>4.6860356138706651E-3</v>
      </c>
      <c r="AY12" s="6">
        <v>1.8744142455482662E-3</v>
      </c>
      <c r="AZ12" s="6">
        <v>6.5604498594189313E-3</v>
      </c>
      <c r="BA12" s="6">
        <v>4.6860356138706651E-3</v>
      </c>
      <c r="BB12" s="6">
        <v>0</v>
      </c>
      <c r="BC12" s="6">
        <v>9.372071227741331E-4</v>
      </c>
      <c r="BD12" s="6">
        <v>6.6541705716963453E-2</v>
      </c>
      <c r="BE12" s="6">
        <v>2.5304592314901592E-2</v>
      </c>
      <c r="BF12" s="6">
        <v>0</v>
      </c>
      <c r="BG12" s="6">
        <v>9.372071227741331E-4</v>
      </c>
      <c r="BH12" s="6">
        <v>0</v>
      </c>
      <c r="BI12" s="6">
        <v>1.9681349578256794E-2</v>
      </c>
      <c r="BJ12" s="6">
        <v>0</v>
      </c>
      <c r="BK12" s="6">
        <v>3.7488284910965324E-3</v>
      </c>
      <c r="BL12" s="6">
        <v>3.4676663542642927E-2</v>
      </c>
      <c r="BM12" s="6">
        <v>1.0309278350515464E-2</v>
      </c>
      <c r="BN12" s="6">
        <v>0</v>
      </c>
      <c r="BO12" s="6">
        <v>9.372071227741331E-4</v>
      </c>
      <c r="BP12" s="6">
        <v>7.1227741330834121E-2</v>
      </c>
      <c r="BQ12" s="6">
        <v>0</v>
      </c>
      <c r="BR12" s="6">
        <v>2.8116213683223993E-3</v>
      </c>
      <c r="BS12" s="6">
        <v>3.7488284910965324E-3</v>
      </c>
      <c r="BT12" s="6">
        <v>7.1227741330834121E-2</v>
      </c>
      <c r="BU12" s="6">
        <v>0</v>
      </c>
      <c r="BV12" s="6">
        <v>3.5613870665417061E-2</v>
      </c>
      <c r="BW12" s="6">
        <v>1.780693533270853E-2</v>
      </c>
    </row>
    <row r="13" spans="1:75">
      <c r="A13" s="5" t="s">
        <v>1179</v>
      </c>
      <c r="B13" s="6">
        <v>2.7839643652561247E-3</v>
      </c>
      <c r="C13" s="6">
        <v>4.4543429844097994E-3</v>
      </c>
      <c r="D13" s="6">
        <v>2.7839643652561247E-3</v>
      </c>
      <c r="E13" s="6">
        <v>5.5679287305122492E-4</v>
      </c>
      <c r="F13" s="6">
        <v>0</v>
      </c>
      <c r="G13" s="6">
        <v>0</v>
      </c>
      <c r="H13" s="6">
        <v>2.2271714922048997E-3</v>
      </c>
      <c r="I13" s="6">
        <v>2.2271714922048997E-3</v>
      </c>
      <c r="J13" s="6">
        <v>4.7884187082405348E-2</v>
      </c>
      <c r="K13" s="6">
        <v>2.2271714922048998E-2</v>
      </c>
      <c r="L13" s="6">
        <v>0</v>
      </c>
      <c r="M13" s="6">
        <v>0.1319599109131403</v>
      </c>
      <c r="N13" s="6">
        <v>3.5634743875278395E-2</v>
      </c>
      <c r="O13" s="6">
        <v>5.0111358574610243E-2</v>
      </c>
      <c r="P13" s="6">
        <v>4.4543429844097994E-3</v>
      </c>
      <c r="Q13" s="6">
        <v>0</v>
      </c>
      <c r="R13" s="6">
        <v>3.8975501113585748E-3</v>
      </c>
      <c r="S13" s="6">
        <v>0</v>
      </c>
      <c r="T13" s="6">
        <v>5.5679287305122492E-4</v>
      </c>
      <c r="U13" s="6">
        <v>1.1135857461024498E-3</v>
      </c>
      <c r="V13" s="6">
        <v>1.0579064587973273E-2</v>
      </c>
      <c r="W13" s="6">
        <v>6.6815144766146995E-3</v>
      </c>
      <c r="X13" s="6">
        <v>5.5679287305122492E-4</v>
      </c>
      <c r="Y13" s="6">
        <v>1.6703786191536749E-3</v>
      </c>
      <c r="Z13" s="6">
        <v>3.3407572383073497E-3</v>
      </c>
      <c r="AA13" s="6">
        <v>2.2271714922048997E-3</v>
      </c>
      <c r="AB13" s="6">
        <v>4.3429844097995544E-2</v>
      </c>
      <c r="AC13" s="6">
        <v>1.1135857461024498E-3</v>
      </c>
      <c r="AD13" s="6">
        <v>2.7839643652561247E-3</v>
      </c>
      <c r="AE13" s="6">
        <v>1.1135857461024498E-3</v>
      </c>
      <c r="AF13" s="6">
        <v>2.1714922048997772E-2</v>
      </c>
      <c r="AG13" s="6">
        <v>1.6703786191536749E-3</v>
      </c>
      <c r="AH13" s="6">
        <v>8.184855233853007E-2</v>
      </c>
      <c r="AI13" s="6">
        <v>2.2271714922048998E-2</v>
      </c>
      <c r="AJ13" s="6">
        <v>6.124721603563474E-3</v>
      </c>
      <c r="AK13" s="6">
        <v>0</v>
      </c>
      <c r="AL13" s="6">
        <v>0</v>
      </c>
      <c r="AM13" s="6">
        <v>0</v>
      </c>
      <c r="AN13" s="6">
        <v>0</v>
      </c>
      <c r="AO13" s="6">
        <v>1.1135857461024498E-3</v>
      </c>
      <c r="AP13" s="6">
        <v>3.6191536748329624E-2</v>
      </c>
      <c r="AQ13" s="6">
        <v>0</v>
      </c>
      <c r="AR13" s="6">
        <v>0</v>
      </c>
      <c r="AS13" s="6">
        <v>2.2271714922048997E-3</v>
      </c>
      <c r="AT13" s="6">
        <v>5.9020044543429843E-2</v>
      </c>
      <c r="AU13" s="6">
        <v>6.124721603563474E-3</v>
      </c>
      <c r="AV13" s="6">
        <v>0</v>
      </c>
      <c r="AW13" s="6">
        <v>0</v>
      </c>
      <c r="AX13" s="6">
        <v>4.4543429844097994E-3</v>
      </c>
      <c r="AY13" s="6">
        <v>2.2271714922048997E-3</v>
      </c>
      <c r="AZ13" s="6">
        <v>7.2383073496659241E-3</v>
      </c>
      <c r="BA13" s="6">
        <v>2.2271714922048997E-3</v>
      </c>
      <c r="BB13" s="6">
        <v>0</v>
      </c>
      <c r="BC13" s="6">
        <v>2.2271714922048997E-3</v>
      </c>
      <c r="BD13" s="6">
        <v>5.4008908685968818E-2</v>
      </c>
      <c r="BE13" s="6">
        <v>1.1135857461024499E-2</v>
      </c>
      <c r="BF13" s="6">
        <v>5.5679287305122492E-4</v>
      </c>
      <c r="BG13" s="6">
        <v>2.2271714922048997E-3</v>
      </c>
      <c r="BH13" s="6">
        <v>0</v>
      </c>
      <c r="BI13" s="6">
        <v>2.6726057906458798E-2</v>
      </c>
      <c r="BJ13" s="6">
        <v>5.5679287305122492E-4</v>
      </c>
      <c r="BK13" s="6">
        <v>5.5679287305122494E-3</v>
      </c>
      <c r="BL13" s="6">
        <v>2.7839643652561249E-2</v>
      </c>
      <c r="BM13" s="6">
        <v>1.2806236080178173E-2</v>
      </c>
      <c r="BN13" s="6">
        <v>5.5679287305122492E-4</v>
      </c>
      <c r="BO13" s="6">
        <v>0</v>
      </c>
      <c r="BP13" s="6">
        <v>9.1870824053452121E-2</v>
      </c>
      <c r="BQ13" s="6">
        <v>0</v>
      </c>
      <c r="BR13" s="6">
        <v>1.1135857461024498E-3</v>
      </c>
      <c r="BS13" s="6">
        <v>1.1135857461024498E-3</v>
      </c>
      <c r="BT13" s="6">
        <v>7.1826280623608019E-2</v>
      </c>
      <c r="BU13" s="6">
        <v>1.6703786191536749E-3</v>
      </c>
      <c r="BV13" s="6">
        <v>3.4521158129175944E-2</v>
      </c>
      <c r="BW13" s="6">
        <v>1.2806236080178173E-2</v>
      </c>
    </row>
    <row r="14" spans="1:75">
      <c r="A14" s="5" t="s">
        <v>920</v>
      </c>
      <c r="B14" s="6">
        <v>2.0920502092050207E-3</v>
      </c>
      <c r="C14" s="6">
        <v>5.0557880055788007E-3</v>
      </c>
      <c r="D14" s="6">
        <v>2.7894002789400278E-3</v>
      </c>
      <c r="E14" s="6">
        <v>1.5690376569037657E-3</v>
      </c>
      <c r="F14" s="6">
        <v>0</v>
      </c>
      <c r="G14" s="6">
        <v>3.4867503486750347E-4</v>
      </c>
      <c r="H14" s="6">
        <v>1.0460251046025104E-3</v>
      </c>
      <c r="I14" s="6">
        <v>3.1380753138075313E-3</v>
      </c>
      <c r="J14" s="6">
        <v>4.079497907949791E-2</v>
      </c>
      <c r="K14" s="6">
        <v>2.7545327754532774E-2</v>
      </c>
      <c r="L14" s="6">
        <v>2.615062761506276E-3</v>
      </c>
      <c r="M14" s="6">
        <v>7.3744769874476992E-2</v>
      </c>
      <c r="N14" s="6">
        <v>3.5216178521617854E-2</v>
      </c>
      <c r="O14" s="6">
        <v>8.1938633193863325E-2</v>
      </c>
      <c r="P14" s="6">
        <v>2.2663877266387725E-3</v>
      </c>
      <c r="Q14" s="6">
        <v>1.7433751743375174E-4</v>
      </c>
      <c r="R14" s="6">
        <v>4.1841004184100415E-3</v>
      </c>
      <c r="S14" s="6">
        <v>0</v>
      </c>
      <c r="T14" s="6">
        <v>3.4867503486750347E-4</v>
      </c>
      <c r="U14" s="6">
        <v>2.0920502092050207E-3</v>
      </c>
      <c r="V14" s="6">
        <v>8.1938633193863325E-3</v>
      </c>
      <c r="W14" s="6">
        <v>8.8912133891213396E-3</v>
      </c>
      <c r="X14" s="6">
        <v>1.0460251046025104E-3</v>
      </c>
      <c r="Y14" s="6">
        <v>2.2663877266387725E-3</v>
      </c>
      <c r="Z14" s="6">
        <v>1.0460251046025104E-3</v>
      </c>
      <c r="AA14" s="6">
        <v>3.1380753138075313E-3</v>
      </c>
      <c r="AB14" s="6">
        <v>3.7133891213389121E-2</v>
      </c>
      <c r="AC14" s="6">
        <v>8.7168758716875871E-4</v>
      </c>
      <c r="AD14" s="6">
        <v>8.0195258019525803E-3</v>
      </c>
      <c r="AE14" s="6">
        <v>2.7894002789400278E-3</v>
      </c>
      <c r="AF14" s="6">
        <v>3.1555090655509065E-2</v>
      </c>
      <c r="AG14" s="6">
        <v>7.3221757322175732E-3</v>
      </c>
      <c r="AH14" s="6">
        <v>8.4553695955369601E-2</v>
      </c>
      <c r="AI14" s="6">
        <v>2.0397489539748955E-2</v>
      </c>
      <c r="AJ14" s="6">
        <v>2.7894002789400278E-3</v>
      </c>
      <c r="AK14" s="6">
        <v>1.7433751743375174E-4</v>
      </c>
      <c r="AL14" s="6">
        <v>3.4867503486750347E-4</v>
      </c>
      <c r="AM14" s="6">
        <v>0</v>
      </c>
      <c r="AN14" s="6">
        <v>2.0920502092050207E-3</v>
      </c>
      <c r="AO14" s="6">
        <v>1.0460251046025104E-3</v>
      </c>
      <c r="AP14" s="6">
        <v>3.6436541143654112E-2</v>
      </c>
      <c r="AQ14" s="6">
        <v>0</v>
      </c>
      <c r="AR14" s="6">
        <v>3.4867503486750347E-4</v>
      </c>
      <c r="AS14" s="6">
        <v>2.0920502092050207E-3</v>
      </c>
      <c r="AT14" s="6">
        <v>6.7991631799163177E-2</v>
      </c>
      <c r="AU14" s="6">
        <v>6.4504881450488149E-3</v>
      </c>
      <c r="AV14" s="6">
        <v>0</v>
      </c>
      <c r="AW14" s="6">
        <v>3.4867503486750347E-4</v>
      </c>
      <c r="AX14" s="6">
        <v>6.4504881450488149E-3</v>
      </c>
      <c r="AY14" s="6">
        <v>2.615062761506276E-3</v>
      </c>
      <c r="AZ14" s="6">
        <v>8.8912133891213396E-3</v>
      </c>
      <c r="BA14" s="6">
        <v>2.615062761506276E-3</v>
      </c>
      <c r="BB14" s="6">
        <v>0</v>
      </c>
      <c r="BC14" s="6">
        <v>2.4407252440725243E-3</v>
      </c>
      <c r="BD14" s="6">
        <v>9.2573221757322174E-2</v>
      </c>
      <c r="BE14" s="6">
        <v>1.6213389121338913E-2</v>
      </c>
      <c r="BF14" s="6">
        <v>1.5690376569037657E-3</v>
      </c>
      <c r="BG14" s="6">
        <v>2.9637377963737796E-3</v>
      </c>
      <c r="BH14" s="6">
        <v>1.2203626220362621E-3</v>
      </c>
      <c r="BI14" s="6">
        <v>2.2315202231520222E-2</v>
      </c>
      <c r="BJ14" s="6">
        <v>0</v>
      </c>
      <c r="BK14" s="6">
        <v>6.9735006973500695E-4</v>
      </c>
      <c r="BL14" s="6">
        <v>2.6673640167364017E-2</v>
      </c>
      <c r="BM14" s="6">
        <v>1.5864714086471408E-2</v>
      </c>
      <c r="BN14" s="6">
        <v>1.3947001394700139E-3</v>
      </c>
      <c r="BO14" s="6">
        <v>0</v>
      </c>
      <c r="BP14" s="6">
        <v>5.3172942817294282E-2</v>
      </c>
      <c r="BQ14" s="6">
        <v>0</v>
      </c>
      <c r="BR14" s="6">
        <v>5.2301255230125519E-4</v>
      </c>
      <c r="BS14" s="6">
        <v>5.2301255230125519E-4</v>
      </c>
      <c r="BT14" s="6">
        <v>4.3410041841004186E-2</v>
      </c>
      <c r="BU14" s="6">
        <v>1.0460251046025104E-3</v>
      </c>
      <c r="BV14" s="6">
        <v>5.8751743375174338E-2</v>
      </c>
      <c r="BW14" s="6">
        <v>1.3772663877266387E-2</v>
      </c>
    </row>
    <row r="15" spans="1:75">
      <c r="A15" s="5" t="s">
        <v>959</v>
      </c>
      <c r="B15" s="6">
        <v>1.9353055017970694E-3</v>
      </c>
      <c r="C15" s="6">
        <v>3.2485485208736523E-3</v>
      </c>
      <c r="D15" s="6">
        <v>3.5941387890517005E-3</v>
      </c>
      <c r="E15" s="6">
        <v>2.2808957699751173E-3</v>
      </c>
      <c r="F15" s="6">
        <v>0</v>
      </c>
      <c r="G15" s="6">
        <v>4.1470832181365771E-4</v>
      </c>
      <c r="H15" s="6">
        <v>1.0367708045341444E-3</v>
      </c>
      <c r="I15" s="6">
        <v>3.8706110035941388E-3</v>
      </c>
      <c r="J15" s="6">
        <v>2.9997235277854577E-2</v>
      </c>
      <c r="K15" s="6">
        <v>2.4536909040641416E-2</v>
      </c>
      <c r="L15" s="6">
        <v>3.801492949958529E-3</v>
      </c>
      <c r="M15" s="6">
        <v>7.3265136853746193E-2</v>
      </c>
      <c r="N15" s="6">
        <v>4.008847110865358E-2</v>
      </c>
      <c r="O15" s="6">
        <v>0.11197124688968758</v>
      </c>
      <c r="P15" s="6">
        <v>4.1470832181365776E-3</v>
      </c>
      <c r="Q15" s="6">
        <v>6.9118053635609623E-5</v>
      </c>
      <c r="R15" s="6">
        <v>4.9073818081282828E-3</v>
      </c>
      <c r="S15" s="6">
        <v>1.3823610727121925E-4</v>
      </c>
      <c r="T15" s="6">
        <v>3.4559026817804813E-4</v>
      </c>
      <c r="U15" s="6">
        <v>4.6309095935858444E-3</v>
      </c>
      <c r="V15" s="6">
        <v>9.6074094553497379E-3</v>
      </c>
      <c r="W15" s="6">
        <v>8.2250483826375453E-3</v>
      </c>
      <c r="X15" s="6">
        <v>6.2206248272048657E-4</v>
      </c>
      <c r="Y15" s="6">
        <v>1.4514791263478021E-3</v>
      </c>
      <c r="Z15" s="6">
        <v>2.6956040917887752E-3</v>
      </c>
      <c r="AA15" s="6">
        <v>1.105888858169754E-3</v>
      </c>
      <c r="AB15" s="6">
        <v>3.5664915675974566E-2</v>
      </c>
      <c r="AC15" s="6">
        <v>8.2941664362731543E-4</v>
      </c>
      <c r="AD15" s="6">
        <v>6.4279789881116949E-3</v>
      </c>
      <c r="AE15" s="6">
        <v>3.1103124136024327E-3</v>
      </c>
      <c r="AF15" s="6">
        <v>2.9928117224218967E-2</v>
      </c>
      <c r="AG15" s="6">
        <v>6.013270666298037E-3</v>
      </c>
      <c r="AH15" s="6">
        <v>7.1813657727398394E-2</v>
      </c>
      <c r="AI15" s="6">
        <v>1.3754492673486315E-2</v>
      </c>
      <c r="AJ15" s="6">
        <v>1.9353055017970694E-3</v>
      </c>
      <c r="AK15" s="6">
        <v>1.3823610727121925E-4</v>
      </c>
      <c r="AL15" s="6">
        <v>1.3823610727121925E-4</v>
      </c>
      <c r="AM15" s="6">
        <v>6.9118053635609623E-5</v>
      </c>
      <c r="AN15" s="6">
        <v>8.2941664362731543E-4</v>
      </c>
      <c r="AO15" s="6">
        <v>1.1750069118053636E-3</v>
      </c>
      <c r="AP15" s="6">
        <v>4.554879734586674E-2</v>
      </c>
      <c r="AQ15" s="6">
        <v>5.5294442908487699E-4</v>
      </c>
      <c r="AR15" s="6">
        <v>1.3823610727121925E-4</v>
      </c>
      <c r="AS15" s="6">
        <v>1.9353055017970694E-3</v>
      </c>
      <c r="AT15" s="6">
        <v>6.8910699474702797E-2</v>
      </c>
      <c r="AU15" s="6">
        <v>5.3912081835775505E-3</v>
      </c>
      <c r="AV15" s="6">
        <v>0</v>
      </c>
      <c r="AW15" s="6">
        <v>4.1470832181365771E-4</v>
      </c>
      <c r="AX15" s="6">
        <v>3.8706110035941388E-3</v>
      </c>
      <c r="AY15" s="6">
        <v>1.9353055017970694E-3</v>
      </c>
      <c r="AZ15" s="6">
        <v>8.2941664362731551E-3</v>
      </c>
      <c r="BA15" s="6">
        <v>2.4882499308819463E-3</v>
      </c>
      <c r="BB15" s="6">
        <v>5.5294442908487699E-4</v>
      </c>
      <c r="BC15" s="6">
        <v>3.2485485208736523E-3</v>
      </c>
      <c r="BD15" s="6">
        <v>7.5131324301907665E-2</v>
      </c>
      <c r="BE15" s="6">
        <v>2.1219242466132153E-2</v>
      </c>
      <c r="BF15" s="6">
        <v>1.3823610727121925E-3</v>
      </c>
      <c r="BG15" s="6">
        <v>8.0868122753663257E-3</v>
      </c>
      <c r="BH15" s="6">
        <v>5.5294442908487699E-4</v>
      </c>
      <c r="BI15" s="6">
        <v>2.2808957699751175E-2</v>
      </c>
      <c r="BJ15" s="6">
        <v>1.3823610727121925E-4</v>
      </c>
      <c r="BK15" s="6">
        <v>1.5205971799834117E-3</v>
      </c>
      <c r="BL15" s="6">
        <v>3.103400608238872E-2</v>
      </c>
      <c r="BM15" s="6">
        <v>1.4998617638927288E-2</v>
      </c>
      <c r="BN15" s="6">
        <v>4.8382637544926735E-4</v>
      </c>
      <c r="BO15" s="6">
        <v>6.9118053635609623E-5</v>
      </c>
      <c r="BP15" s="6">
        <v>5.9787116394802324E-2</v>
      </c>
      <c r="BQ15" s="6">
        <v>0</v>
      </c>
      <c r="BR15" s="6">
        <v>1.3132430190765827E-3</v>
      </c>
      <c r="BS15" s="6">
        <v>6.2206248272048657E-4</v>
      </c>
      <c r="BT15" s="6">
        <v>2.9789881116947747E-2</v>
      </c>
      <c r="BU15" s="6">
        <v>2.4882499308819463E-3</v>
      </c>
      <c r="BV15" s="6">
        <v>6.0409178877522812E-2</v>
      </c>
      <c r="BW15" s="6">
        <v>1.5067735692562898E-2</v>
      </c>
    </row>
    <row r="16" spans="1:75">
      <c r="A16" s="5" t="s">
        <v>925</v>
      </c>
      <c r="B16" s="6">
        <v>1.4365522745411015E-3</v>
      </c>
      <c r="C16" s="6">
        <v>2.0750199521149242E-3</v>
      </c>
      <c r="D16" s="6">
        <v>9.5770151636073427E-4</v>
      </c>
      <c r="E16" s="6">
        <v>1.4365522745411015E-3</v>
      </c>
      <c r="F16" s="6">
        <v>0</v>
      </c>
      <c r="G16" s="6">
        <v>6.3846767757382277E-4</v>
      </c>
      <c r="H16" s="6">
        <v>9.5770151636073427E-4</v>
      </c>
      <c r="I16" s="6">
        <v>2.5538707102952911E-3</v>
      </c>
      <c r="J16" s="6">
        <v>3.0167597765363128E-2</v>
      </c>
      <c r="K16" s="6">
        <v>3.3679169992019156E-2</v>
      </c>
      <c r="L16" s="6">
        <v>2.8731045490822029E-3</v>
      </c>
      <c r="M16" s="6">
        <v>7.1189146049481247E-2</v>
      </c>
      <c r="N16" s="6">
        <v>3.3679169992019156E-2</v>
      </c>
      <c r="O16" s="6">
        <v>9.8962490023942543E-2</v>
      </c>
      <c r="P16" s="6">
        <v>3.3519553072625698E-3</v>
      </c>
      <c r="Q16" s="6">
        <v>1.5961691939345569E-4</v>
      </c>
      <c r="R16" s="6">
        <v>6.8635275339185954E-3</v>
      </c>
      <c r="S16" s="6">
        <v>7.9808459696727857E-4</v>
      </c>
      <c r="T16" s="6">
        <v>1.9154030327214685E-3</v>
      </c>
      <c r="U16" s="6">
        <v>2.3942537909018356E-3</v>
      </c>
      <c r="V16" s="6">
        <v>9.7366320830007975E-3</v>
      </c>
      <c r="W16" s="6">
        <v>7.0231444533120514E-3</v>
      </c>
      <c r="X16" s="6">
        <v>1.2769353551476455E-3</v>
      </c>
      <c r="Y16" s="6">
        <v>3.8308060654429371E-3</v>
      </c>
      <c r="Z16" s="6">
        <v>1.1173184357541898E-3</v>
      </c>
      <c r="AA16" s="6">
        <v>1.2769353551476455E-3</v>
      </c>
      <c r="AB16" s="6">
        <v>4.1500399042298484E-2</v>
      </c>
      <c r="AC16" s="6">
        <v>6.3846767757382277E-4</v>
      </c>
      <c r="AD16" s="6">
        <v>7.0231444533120514E-3</v>
      </c>
      <c r="AE16" s="6">
        <v>1.9154030327214685E-3</v>
      </c>
      <c r="AF16" s="6">
        <v>2.6177174780526734E-2</v>
      </c>
      <c r="AG16" s="6">
        <v>7.1827613727055064E-3</v>
      </c>
      <c r="AH16" s="6">
        <v>7.7094972067039108E-2</v>
      </c>
      <c r="AI16" s="6">
        <v>1.3088587390263367E-2</v>
      </c>
      <c r="AJ16" s="6">
        <v>1.5961691939345571E-3</v>
      </c>
      <c r="AK16" s="6">
        <v>3.1923383878691139E-4</v>
      </c>
      <c r="AL16" s="6">
        <v>0</v>
      </c>
      <c r="AM16" s="6">
        <v>0</v>
      </c>
      <c r="AN16" s="6">
        <v>1.4365522745411015E-3</v>
      </c>
      <c r="AO16" s="6">
        <v>4.7885075818036713E-4</v>
      </c>
      <c r="AP16" s="6">
        <v>4.6448523543495608E-2</v>
      </c>
      <c r="AQ16" s="6">
        <v>4.7885075818036713E-4</v>
      </c>
      <c r="AR16" s="6">
        <v>0</v>
      </c>
      <c r="AS16" s="6">
        <v>3.8308060654429371E-3</v>
      </c>
      <c r="AT16" s="6">
        <v>7.9010375099760569E-2</v>
      </c>
      <c r="AU16" s="6">
        <v>5.1077414205905822E-3</v>
      </c>
      <c r="AV16" s="6">
        <v>4.7885075818036713E-4</v>
      </c>
      <c r="AW16" s="6">
        <v>3.1923383878691139E-4</v>
      </c>
      <c r="AX16" s="6">
        <v>4.4692737430167594E-3</v>
      </c>
      <c r="AY16" s="6">
        <v>1.9154030327214685E-3</v>
      </c>
      <c r="AZ16" s="6">
        <v>8.9385474860335188E-3</v>
      </c>
      <c r="BA16" s="6">
        <v>3.1923383878691143E-3</v>
      </c>
      <c r="BB16" s="6">
        <v>0</v>
      </c>
      <c r="BC16" s="6">
        <v>2.0750199521149242E-3</v>
      </c>
      <c r="BD16" s="6">
        <v>8.9385474860335198E-2</v>
      </c>
      <c r="BE16" s="6">
        <v>1.1013567438148443E-2</v>
      </c>
      <c r="BF16" s="6">
        <v>4.7885075818036713E-4</v>
      </c>
      <c r="BG16" s="6">
        <v>3.8308060654429371E-3</v>
      </c>
      <c r="BH16" s="6">
        <v>1.5961691939345569E-4</v>
      </c>
      <c r="BI16" s="6">
        <v>2.3623304070231443E-2</v>
      </c>
      <c r="BJ16" s="6">
        <v>1.5961691939345569E-4</v>
      </c>
      <c r="BK16" s="6">
        <v>1.1173184357541898E-3</v>
      </c>
      <c r="BL16" s="6">
        <v>2.4581005586592177E-2</v>
      </c>
      <c r="BM16" s="6">
        <v>1.5802075019952115E-2</v>
      </c>
      <c r="BN16" s="6">
        <v>4.7885075818036713E-4</v>
      </c>
      <c r="BO16" s="6">
        <v>1.5961691939345569E-4</v>
      </c>
      <c r="BP16" s="6">
        <v>3.6871508379888271E-2</v>
      </c>
      <c r="BQ16" s="6">
        <v>0</v>
      </c>
      <c r="BR16" s="6">
        <v>2.713487629688747E-3</v>
      </c>
      <c r="BS16" s="6">
        <v>1.5961691939345569E-4</v>
      </c>
      <c r="BT16" s="6">
        <v>4.6448523543495608E-2</v>
      </c>
      <c r="BU16" s="6">
        <v>2.8731045490822029E-3</v>
      </c>
      <c r="BV16" s="6">
        <v>6.9114126097366321E-2</v>
      </c>
      <c r="BW16" s="6">
        <v>1.596169193934557E-2</v>
      </c>
    </row>
    <row r="17" spans="1:75">
      <c r="A17" s="5" t="s">
        <v>930</v>
      </c>
      <c r="B17" s="6">
        <v>7.2184793070259861E-4</v>
      </c>
      <c r="C17" s="6">
        <v>3.8498556304138597E-3</v>
      </c>
      <c r="D17" s="6">
        <v>7.2184793070259861E-4</v>
      </c>
      <c r="E17" s="6">
        <v>1.4436958614051972E-3</v>
      </c>
      <c r="F17" s="6">
        <v>2.4061597690086623E-4</v>
      </c>
      <c r="G17" s="6">
        <v>4.8123195380173246E-4</v>
      </c>
      <c r="H17" s="6">
        <v>3.3686236766121268E-3</v>
      </c>
      <c r="I17" s="6">
        <v>2.6467757459095282E-3</v>
      </c>
      <c r="J17" s="6">
        <v>4.3551491819056785E-2</v>
      </c>
      <c r="K17" s="6">
        <v>2.6708373435996149E-2</v>
      </c>
      <c r="L17" s="6">
        <v>3.3686236766121268E-3</v>
      </c>
      <c r="M17" s="6">
        <v>7.3869104908565936E-2</v>
      </c>
      <c r="N17" s="6">
        <v>2.8633301251203079E-2</v>
      </c>
      <c r="O17" s="6">
        <v>8.0365736284889314E-2</v>
      </c>
      <c r="P17" s="6">
        <v>2.8873917228103944E-3</v>
      </c>
      <c r="Q17" s="6">
        <v>0</v>
      </c>
      <c r="R17" s="6">
        <v>6.0153994225216551E-3</v>
      </c>
      <c r="S17" s="6">
        <v>0</v>
      </c>
      <c r="T17" s="6">
        <v>9.6246390760346492E-4</v>
      </c>
      <c r="U17" s="6">
        <v>9.6246390760346492E-4</v>
      </c>
      <c r="V17" s="6">
        <v>8.1809432146294509E-3</v>
      </c>
      <c r="W17" s="6">
        <v>7.2184793070259861E-3</v>
      </c>
      <c r="X17" s="6">
        <v>1.203079884504331E-3</v>
      </c>
      <c r="Y17" s="6">
        <v>3.3686236766121268E-3</v>
      </c>
      <c r="Z17" s="6">
        <v>1.203079884504331E-3</v>
      </c>
      <c r="AA17" s="6">
        <v>3.1280076997112606E-3</v>
      </c>
      <c r="AB17" s="6">
        <v>3.8017324350336862E-2</v>
      </c>
      <c r="AC17" s="6">
        <v>4.8123195380173246E-4</v>
      </c>
      <c r="AD17" s="6">
        <v>6.0153994225216551E-3</v>
      </c>
      <c r="AE17" s="6">
        <v>4.0904716073147255E-3</v>
      </c>
      <c r="AF17" s="6">
        <v>2.9595765158806544E-2</v>
      </c>
      <c r="AG17" s="6">
        <v>6.4966313763233875E-3</v>
      </c>
      <c r="AH17" s="6">
        <v>8.662175168431184E-2</v>
      </c>
      <c r="AI17" s="6">
        <v>1.9008662175168431E-2</v>
      </c>
      <c r="AJ17" s="6">
        <v>1.6843118383060634E-3</v>
      </c>
      <c r="AK17" s="6">
        <v>7.2184793070259861E-4</v>
      </c>
      <c r="AL17" s="6">
        <v>2.4061597690086623E-4</v>
      </c>
      <c r="AM17" s="6">
        <v>4.8123195380173246E-4</v>
      </c>
      <c r="AN17" s="6">
        <v>4.8123195380173246E-4</v>
      </c>
      <c r="AO17" s="6">
        <v>1.9249278152069298E-3</v>
      </c>
      <c r="AP17" s="6">
        <v>4.4032723772858516E-2</v>
      </c>
      <c r="AQ17" s="6">
        <v>0</v>
      </c>
      <c r="AR17" s="6">
        <v>0</v>
      </c>
      <c r="AS17" s="6">
        <v>3.609239653512993E-3</v>
      </c>
      <c r="AT17" s="6">
        <v>7.675649663137632E-2</v>
      </c>
      <c r="AU17" s="6">
        <v>7.2184793070259861E-3</v>
      </c>
      <c r="AV17" s="6">
        <v>4.8123195380173246E-4</v>
      </c>
      <c r="AW17" s="6">
        <v>2.4061597690086623E-4</v>
      </c>
      <c r="AX17" s="6">
        <v>5.5341674687199227E-3</v>
      </c>
      <c r="AY17" s="6">
        <v>2.406159769008662E-3</v>
      </c>
      <c r="AZ17" s="6">
        <v>8.421559191530318E-3</v>
      </c>
      <c r="BA17" s="6">
        <v>3.3686236766121268E-3</v>
      </c>
      <c r="BB17" s="6">
        <v>4.8123195380173246E-4</v>
      </c>
      <c r="BC17" s="6">
        <v>1.6843118383060634E-3</v>
      </c>
      <c r="BD17" s="6">
        <v>8.4215591915303173E-2</v>
      </c>
      <c r="BE17" s="6">
        <v>1.4918190567853706E-2</v>
      </c>
      <c r="BF17" s="6">
        <v>7.2184793070259861E-4</v>
      </c>
      <c r="BG17" s="6">
        <v>2.8873917228103944E-3</v>
      </c>
      <c r="BH17" s="6">
        <v>0</v>
      </c>
      <c r="BI17" s="6">
        <v>2.237728585178056E-2</v>
      </c>
      <c r="BJ17" s="6">
        <v>0</v>
      </c>
      <c r="BK17" s="6">
        <v>1.203079884504331E-3</v>
      </c>
      <c r="BL17" s="6">
        <v>2.8392685274302214E-2</v>
      </c>
      <c r="BM17" s="6">
        <v>2.045235803657363E-2</v>
      </c>
      <c r="BN17" s="6">
        <v>9.6246390760346492E-4</v>
      </c>
      <c r="BO17" s="6">
        <v>0</v>
      </c>
      <c r="BP17" s="6">
        <v>4.4273339749759381E-2</v>
      </c>
      <c r="BQ17" s="6">
        <v>0</v>
      </c>
      <c r="BR17" s="6">
        <v>2.406159769008662E-3</v>
      </c>
      <c r="BS17" s="6">
        <v>0</v>
      </c>
      <c r="BT17" s="6">
        <v>4.1626564003849856E-2</v>
      </c>
      <c r="BU17" s="6">
        <v>1.6843118383060634E-3</v>
      </c>
      <c r="BV17" s="6">
        <v>6.3522617901828685E-2</v>
      </c>
      <c r="BW17" s="6">
        <v>1.5158806544754572E-2</v>
      </c>
    </row>
    <row r="18" spans="1:75">
      <c r="A18" s="5" t="s">
        <v>908</v>
      </c>
      <c r="B18" s="6">
        <v>2.0042616932846686E-3</v>
      </c>
      <c r="C18" s="6">
        <v>5.8440051477879279E-3</v>
      </c>
      <c r="D18" s="6">
        <v>2.869258845123315E-3</v>
      </c>
      <c r="E18" s="6">
        <v>2.0675541678094474E-3</v>
      </c>
      <c r="F18" s="6">
        <v>3.3755986413215469E-4</v>
      </c>
      <c r="G18" s="6">
        <v>3.7975484714867401E-4</v>
      </c>
      <c r="H18" s="6">
        <v>1.0548745754129835E-3</v>
      </c>
      <c r="I18" s="6">
        <v>3.0380387771893921E-3</v>
      </c>
      <c r="J18" s="6">
        <v>3.685731766492964E-2</v>
      </c>
      <c r="K18" s="6">
        <v>2.6730521740964998E-2</v>
      </c>
      <c r="L18" s="6">
        <v>4.5359606742758282E-3</v>
      </c>
      <c r="M18" s="6">
        <v>8.8377391928099749E-2</v>
      </c>
      <c r="N18" s="6">
        <v>3.5907930547057952E-2</v>
      </c>
      <c r="O18" s="6">
        <v>0.11097280533344585</v>
      </c>
      <c r="P18" s="6">
        <v>4.2827907761767122E-3</v>
      </c>
      <c r="Q18" s="6">
        <v>2.9536488111563537E-4</v>
      </c>
      <c r="R18" s="6">
        <v>5.6541277242135911E-3</v>
      </c>
      <c r="S18" s="6">
        <v>1.26584949049558E-4</v>
      </c>
      <c r="T18" s="6">
        <v>6.7511972826430938E-4</v>
      </c>
      <c r="U18" s="6">
        <v>2.8903563366315744E-3</v>
      </c>
      <c r="V18" s="6">
        <v>1.0358868330555496E-2</v>
      </c>
      <c r="W18" s="6">
        <v>9.0297263655351387E-3</v>
      </c>
      <c r="X18" s="6">
        <v>6.7511972826430938E-4</v>
      </c>
      <c r="Y18" s="6">
        <v>3.0380387771893921E-3</v>
      </c>
      <c r="Z18" s="6">
        <v>2.1097491508259669E-3</v>
      </c>
      <c r="AA18" s="6">
        <v>1.392434439545138E-3</v>
      </c>
      <c r="AB18" s="6">
        <v>2.8650393468216628E-2</v>
      </c>
      <c r="AC18" s="6">
        <v>4.8524230468997235E-4</v>
      </c>
      <c r="AD18" s="6">
        <v>7.5739994514652208E-3</v>
      </c>
      <c r="AE18" s="6">
        <v>1.8776767442351104E-3</v>
      </c>
      <c r="AF18" s="6">
        <v>2.1097491508259666E-2</v>
      </c>
      <c r="AG18" s="6">
        <v>6.4558324015274587E-3</v>
      </c>
      <c r="AH18" s="6">
        <v>7.7343403869279945E-2</v>
      </c>
      <c r="AI18" s="6">
        <v>1.8186037680119834E-2</v>
      </c>
      <c r="AJ18" s="6">
        <v>1.9620667102681491E-3</v>
      </c>
      <c r="AK18" s="6">
        <v>2.5316989809911599E-4</v>
      </c>
      <c r="AL18" s="6">
        <v>6.3292474524779001E-4</v>
      </c>
      <c r="AM18" s="6">
        <v>8.4389966033038673E-5</v>
      </c>
      <c r="AN18" s="6">
        <v>1.202557015970801E-3</v>
      </c>
      <c r="AO18" s="6">
        <v>1.1603620329542817E-3</v>
      </c>
      <c r="AP18" s="6">
        <v>3.2764404312327265E-2</v>
      </c>
      <c r="AQ18" s="6">
        <v>2.3207240659085636E-4</v>
      </c>
      <c r="AR18" s="6">
        <v>6.5402223675604975E-4</v>
      </c>
      <c r="AS18" s="6">
        <v>2.7004789130572375E-3</v>
      </c>
      <c r="AT18" s="6">
        <v>6.7279900419840083E-2</v>
      </c>
      <c r="AU18" s="6">
        <v>5.6330302327053314E-3</v>
      </c>
      <c r="AV18" s="6">
        <v>1.26584949049558E-4</v>
      </c>
      <c r="AW18" s="6">
        <v>7.8060718580560766E-4</v>
      </c>
      <c r="AX18" s="6">
        <v>4.7680330808666845E-3</v>
      </c>
      <c r="AY18" s="6">
        <v>2.3840165404333423E-3</v>
      </c>
      <c r="AZ18" s="6">
        <v>9.5782611447498885E-3</v>
      </c>
      <c r="BA18" s="6">
        <v>2.4684065064663812E-3</v>
      </c>
      <c r="BB18" s="6">
        <v>4.6414481318171272E-4</v>
      </c>
      <c r="BC18" s="6">
        <v>2.9958437941728726E-3</v>
      </c>
      <c r="BD18" s="6">
        <v>7.4537437498681414E-2</v>
      </c>
      <c r="BE18" s="6">
        <v>1.3924344395451382E-2</v>
      </c>
      <c r="BF18" s="6">
        <v>1.0970695584295027E-3</v>
      </c>
      <c r="BG18" s="6">
        <v>4.2194983016519338E-3</v>
      </c>
      <c r="BH18" s="6">
        <v>2.5316989809911599E-4</v>
      </c>
      <c r="BI18" s="6">
        <v>2.2300048524230467E-2</v>
      </c>
      <c r="BJ18" s="6">
        <v>8.4389966033038673E-5</v>
      </c>
      <c r="BK18" s="6">
        <v>1.2447519989873205E-3</v>
      </c>
      <c r="BL18" s="6">
        <v>3.1245384923732567E-2</v>
      </c>
      <c r="BM18" s="6">
        <v>1.8797864933859366E-2</v>
      </c>
      <c r="BN18" s="6">
        <v>7.384122027890884E-4</v>
      </c>
      <c r="BO18" s="6">
        <v>1.6877993206607735E-4</v>
      </c>
      <c r="BP18" s="6">
        <v>4.7912403215257707E-2</v>
      </c>
      <c r="BQ18" s="6">
        <v>0</v>
      </c>
      <c r="BR18" s="6">
        <v>1.9831642017764089E-3</v>
      </c>
      <c r="BS18" s="6">
        <v>6.7511972826430938E-4</v>
      </c>
      <c r="BT18" s="6">
        <v>3.4578788582037598E-2</v>
      </c>
      <c r="BU18" s="6">
        <v>2.4684065064663812E-3</v>
      </c>
      <c r="BV18" s="6">
        <v>6.8609042384860444E-2</v>
      </c>
      <c r="BW18" s="6">
        <v>1.3861051920926602E-2</v>
      </c>
    </row>
    <row r="19" spans="1:75">
      <c r="A19" s="5" t="s">
        <v>944</v>
      </c>
      <c r="B19" s="6">
        <v>1.836812710370999E-3</v>
      </c>
      <c r="C19" s="6">
        <v>4.4848066684692912E-3</v>
      </c>
      <c r="D19" s="6">
        <v>2.498811199895572E-3</v>
      </c>
      <c r="E19" s="6">
        <v>1.846136632758669E-3</v>
      </c>
      <c r="F19" s="6">
        <v>2.2377413730408107E-4</v>
      </c>
      <c r="G19" s="6">
        <v>3.9160474028214189E-4</v>
      </c>
      <c r="H19" s="6">
        <v>1.2960252118861362E-3</v>
      </c>
      <c r="I19" s="6">
        <v>3.2167532237461654E-3</v>
      </c>
      <c r="J19" s="6">
        <v>3.721177424919115E-2</v>
      </c>
      <c r="K19" s="6">
        <v>2.7095318458569152E-2</v>
      </c>
      <c r="L19" s="6">
        <v>3.4498512834379167E-3</v>
      </c>
      <c r="M19" s="6">
        <v>8.4763778426308375E-2</v>
      </c>
      <c r="N19" s="6">
        <v>3.6363297311913179E-2</v>
      </c>
      <c r="O19" s="6">
        <v>0.10122982536293368</v>
      </c>
      <c r="P19" s="6">
        <v>3.9440191699844293E-3</v>
      </c>
      <c r="Q19" s="6">
        <v>2.5174590446709123E-4</v>
      </c>
      <c r="R19" s="6">
        <v>5.2773400714212458E-3</v>
      </c>
      <c r="S19" s="6">
        <v>1.2121099103971058E-4</v>
      </c>
      <c r="T19" s="6">
        <v>6.7132241191224327E-4</v>
      </c>
      <c r="U19" s="6">
        <v>2.657317880485963E-3</v>
      </c>
      <c r="V19" s="6">
        <v>9.9859208771946179E-3</v>
      </c>
      <c r="W19" s="6">
        <v>8.3355866145770202E-3</v>
      </c>
      <c r="X19" s="6">
        <v>9.0442047160399432E-4</v>
      </c>
      <c r="Y19" s="6">
        <v>2.6293461133229529E-3</v>
      </c>
      <c r="Z19" s="6">
        <v>2.1072064596134301E-3</v>
      </c>
      <c r="AA19" s="6">
        <v>1.6783060297806082E-3</v>
      </c>
      <c r="AB19" s="6">
        <v>3.3342346458308081E-2</v>
      </c>
      <c r="AC19" s="6">
        <v>5.2213965370952252E-4</v>
      </c>
      <c r="AD19" s="6">
        <v>7.2260398504442845E-3</v>
      </c>
      <c r="AE19" s="6">
        <v>2.0885586148380901E-3</v>
      </c>
      <c r="AF19" s="6">
        <v>2.4279493897492798E-2</v>
      </c>
      <c r="AG19" s="6">
        <v>6.1164930863115497E-3</v>
      </c>
      <c r="AH19" s="6">
        <v>7.6996951077379236E-2</v>
      </c>
      <c r="AI19" s="6">
        <v>1.8088409432079889E-2</v>
      </c>
      <c r="AJ19" s="6">
        <v>2.2750370625914912E-3</v>
      </c>
      <c r="AK19" s="6">
        <v>2.7971767163010133E-4</v>
      </c>
      <c r="AL19" s="6">
        <v>4.4754827460816214E-4</v>
      </c>
      <c r="AM19" s="6">
        <v>7.4591379101360362E-5</v>
      </c>
      <c r="AN19" s="6">
        <v>1.2121099103971059E-3</v>
      </c>
      <c r="AO19" s="6">
        <v>1.1748142208464257E-3</v>
      </c>
      <c r="AP19" s="6">
        <v>3.8778193210319716E-2</v>
      </c>
      <c r="AQ19" s="6">
        <v>2.7971767163010133E-4</v>
      </c>
      <c r="AR19" s="6">
        <v>3.543090507314617E-4</v>
      </c>
      <c r="AS19" s="6">
        <v>2.3403045193051814E-3</v>
      </c>
      <c r="AT19" s="6">
        <v>6.9295391185163771E-2</v>
      </c>
      <c r="AU19" s="6">
        <v>5.930014638558149E-3</v>
      </c>
      <c r="AV19" s="6">
        <v>1.2121099103971058E-4</v>
      </c>
      <c r="AW19" s="6">
        <v>5.4078749848486258E-4</v>
      </c>
      <c r="AX19" s="6">
        <v>4.6899329609980328E-3</v>
      </c>
      <c r="AY19" s="6">
        <v>2.3682762864681915E-3</v>
      </c>
      <c r="AZ19" s="6">
        <v>9.6502596712384967E-3</v>
      </c>
      <c r="BA19" s="6">
        <v>2.6106982685476128E-3</v>
      </c>
      <c r="BB19" s="6">
        <v>3.4498512834379167E-4</v>
      </c>
      <c r="BC19" s="6">
        <v>2.5547547342215922E-3</v>
      </c>
      <c r="BD19" s="6">
        <v>7.4721914014787741E-2</v>
      </c>
      <c r="BE19" s="6">
        <v>1.5039486811311783E-2</v>
      </c>
      <c r="BF19" s="6">
        <v>9.6968792831768466E-4</v>
      </c>
      <c r="BG19" s="6">
        <v>4.4848066684692912E-3</v>
      </c>
      <c r="BH19" s="6">
        <v>3.4498512834379167E-4</v>
      </c>
      <c r="BI19" s="6">
        <v>2.2274850584143739E-2</v>
      </c>
      <c r="BJ19" s="6">
        <v>8.3915301489030408E-5</v>
      </c>
      <c r="BK19" s="6">
        <v>1.6503342626175981E-3</v>
      </c>
      <c r="BL19" s="6">
        <v>3.0461254440518039E-2</v>
      </c>
      <c r="BM19" s="6">
        <v>1.7267904261964923E-2</v>
      </c>
      <c r="BN19" s="6">
        <v>6.806463342999133E-4</v>
      </c>
      <c r="BO19" s="6">
        <v>1.3985883581505066E-4</v>
      </c>
      <c r="BP19" s="6">
        <v>5.2185993603789241E-2</v>
      </c>
      <c r="BQ19" s="6">
        <v>9.3239223876700452E-6</v>
      </c>
      <c r="BR19" s="6">
        <v>1.7435734864942984E-3</v>
      </c>
      <c r="BS19" s="6">
        <v>6.8997025668758333E-4</v>
      </c>
      <c r="BT19" s="6">
        <v>3.9253713252090892E-2</v>
      </c>
      <c r="BU19" s="6">
        <v>2.2097696058778005E-3</v>
      </c>
      <c r="BV19" s="6">
        <v>6.3048363185424838E-2</v>
      </c>
      <c r="BW19" s="6">
        <v>1.4284249097910508E-2</v>
      </c>
    </row>
  </sheetData>
  <conditionalFormatting pivot="1" sqref="B5:BW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3B69-DEF0-4C3B-8F67-B0072864294B}">
  <dimension ref="A1:H1001"/>
  <sheetViews>
    <sheetView topLeftCell="B1" workbookViewId="0">
      <selection activeCell="G2" sqref="G2"/>
    </sheetView>
  </sheetViews>
  <sheetFormatPr defaultRowHeight="14.4"/>
  <cols>
    <col min="1" max="1" width="13.77734375" customWidth="1"/>
    <col min="2" max="2" width="13.5546875" customWidth="1"/>
    <col min="3" max="3" width="11" bestFit="1" customWidth="1"/>
    <col min="4" max="4" width="23.33203125" bestFit="1" customWidth="1"/>
    <col min="5" max="5" width="16" bestFit="1" customWidth="1"/>
    <col min="6" max="6" width="24.33203125" bestFit="1" customWidth="1"/>
    <col min="7" max="7" width="26.6640625" bestFit="1" customWidth="1"/>
    <col min="8" max="8" width="25.77734375" bestFit="1" customWidth="1"/>
  </cols>
  <sheetData>
    <row r="1" spans="1:8">
      <c r="A1" t="s">
        <v>1306</v>
      </c>
      <c r="B1" t="s">
        <v>1305</v>
      </c>
    </row>
    <row r="2" spans="1:8">
      <c r="A2" t="s">
        <v>1307</v>
      </c>
      <c r="B2">
        <v>4</v>
      </c>
      <c r="D2" s="8"/>
      <c r="E2" s="1"/>
      <c r="F2" s="1"/>
      <c r="H2" s="1"/>
    </row>
    <row r="3" spans="1:8">
      <c r="A3" t="s">
        <v>1308</v>
      </c>
      <c r="B3">
        <v>324</v>
      </c>
      <c r="D3" s="8"/>
      <c r="E3" s="1"/>
      <c r="H3" s="1"/>
    </row>
    <row r="4" spans="1:8">
      <c r="A4" t="s">
        <v>1309</v>
      </c>
      <c r="B4" s="2">
        <v>1</v>
      </c>
      <c r="D4" s="8"/>
      <c r="E4" s="1"/>
      <c r="H4" s="1"/>
    </row>
    <row r="5" spans="1:8">
      <c r="A5" t="s">
        <v>1310</v>
      </c>
      <c r="B5">
        <v>800</v>
      </c>
      <c r="D5" s="8"/>
      <c r="E5" s="1"/>
      <c r="F5" s="1"/>
      <c r="G5" s="1"/>
      <c r="H5" s="1"/>
    </row>
    <row r="6" spans="1:8">
      <c r="A6" t="s">
        <v>1311</v>
      </c>
      <c r="B6">
        <v>1780</v>
      </c>
      <c r="D6" s="8"/>
      <c r="E6" s="1"/>
      <c r="H6" s="1"/>
    </row>
    <row r="7" spans="1:8">
      <c r="A7" t="s">
        <v>1312</v>
      </c>
      <c r="B7">
        <v>2682</v>
      </c>
      <c r="D7" s="8"/>
      <c r="E7" s="1"/>
      <c r="F7" s="1"/>
      <c r="G7" s="1"/>
      <c r="H7" s="1"/>
    </row>
    <row r="8" spans="1:8">
      <c r="A8" t="s">
        <v>1313</v>
      </c>
      <c r="B8">
        <v>2404</v>
      </c>
      <c r="D8" s="8"/>
      <c r="E8" s="1"/>
      <c r="F8" s="1"/>
      <c r="G8" s="1"/>
      <c r="H8" s="1"/>
    </row>
    <row r="9" spans="1:8">
      <c r="A9" t="s">
        <v>1314</v>
      </c>
      <c r="B9">
        <v>3700</v>
      </c>
      <c r="D9" s="8"/>
      <c r="E9" s="1"/>
      <c r="F9" s="1"/>
      <c r="G9" s="1"/>
      <c r="H9" s="1"/>
    </row>
    <row r="10" spans="1:8">
      <c r="A10" t="s">
        <v>1315</v>
      </c>
      <c r="B10">
        <v>3245</v>
      </c>
      <c r="D10" s="8"/>
      <c r="E10" s="1"/>
      <c r="F10" s="1"/>
      <c r="G10" s="1"/>
      <c r="H10" s="1"/>
    </row>
    <row r="11" spans="1:8">
      <c r="A11" t="s">
        <v>1316</v>
      </c>
      <c r="B11">
        <v>4026</v>
      </c>
      <c r="D11" s="8"/>
      <c r="E11" s="1"/>
      <c r="F11" s="1"/>
      <c r="G11" s="1"/>
      <c r="H11" s="1"/>
    </row>
    <row r="12" spans="1:8">
      <c r="A12" t="s">
        <v>1317</v>
      </c>
      <c r="B12">
        <v>4331</v>
      </c>
      <c r="D12" s="8"/>
      <c r="E12" s="1"/>
      <c r="F12" s="1"/>
      <c r="G12" s="1"/>
      <c r="H12" s="1"/>
    </row>
    <row r="13" spans="1:8">
      <c r="A13" t="s">
        <v>1318</v>
      </c>
      <c r="B13">
        <v>4285</v>
      </c>
      <c r="D13" s="8"/>
      <c r="E13" s="1"/>
      <c r="F13" s="1"/>
      <c r="G13" s="1"/>
      <c r="H13" s="1"/>
    </row>
    <row r="14" spans="1:8">
      <c r="A14" t="s">
        <v>1319</v>
      </c>
      <c r="B14">
        <v>4631</v>
      </c>
      <c r="D14" s="8"/>
      <c r="E14" s="1"/>
      <c r="F14" s="1"/>
      <c r="G14" s="1"/>
      <c r="H14" s="1"/>
    </row>
    <row r="15" spans="1:8">
      <c r="A15" t="s">
        <v>1320</v>
      </c>
      <c r="B15">
        <v>7544</v>
      </c>
      <c r="D15" s="8"/>
      <c r="E15" s="1"/>
      <c r="F15" s="1"/>
      <c r="G15" s="1"/>
      <c r="H15" s="1"/>
    </row>
    <row r="16" spans="1:8">
      <c r="A16" t="s">
        <v>1321</v>
      </c>
      <c r="B16">
        <v>5673</v>
      </c>
      <c r="D16" s="8"/>
      <c r="E16" s="1"/>
      <c r="F16" s="1"/>
      <c r="G16" s="1"/>
      <c r="H16" s="1"/>
    </row>
    <row r="17" spans="1:8">
      <c r="A17" t="s">
        <v>1322</v>
      </c>
      <c r="B17">
        <v>7269</v>
      </c>
      <c r="D17" s="8"/>
      <c r="E17" s="1"/>
      <c r="F17" s="1"/>
      <c r="G17" s="1"/>
      <c r="H17" s="1"/>
    </row>
    <row r="18" spans="1:8">
      <c r="A18" t="s">
        <v>1323</v>
      </c>
      <c r="B18">
        <v>6728</v>
      </c>
      <c r="D18" s="8"/>
      <c r="E18" s="1"/>
      <c r="H18" s="1"/>
    </row>
    <row r="19" spans="1:8">
      <c r="A19" t="s">
        <v>1324</v>
      </c>
      <c r="B19">
        <v>7211</v>
      </c>
      <c r="D19" s="8"/>
      <c r="E19" s="1"/>
      <c r="F19" s="1"/>
      <c r="G19" s="1"/>
      <c r="H19" s="1"/>
    </row>
    <row r="20" spans="1:8">
      <c r="A20" t="s">
        <v>1325</v>
      </c>
      <c r="B20">
        <v>6939</v>
      </c>
      <c r="D20" s="8"/>
      <c r="E20" s="1"/>
      <c r="F20" s="1"/>
      <c r="G20" s="1"/>
      <c r="H20" s="1"/>
    </row>
    <row r="21" spans="1:8">
      <c r="A21" t="s">
        <v>1326</v>
      </c>
      <c r="B21">
        <v>6873</v>
      </c>
      <c r="D21" s="8"/>
      <c r="E21" s="1"/>
      <c r="F21" s="1"/>
      <c r="G21" s="1"/>
      <c r="H21" s="1"/>
    </row>
    <row r="22" spans="1:8">
      <c r="A22" t="s">
        <v>1327</v>
      </c>
      <c r="B22">
        <v>6167</v>
      </c>
      <c r="D22" s="8"/>
      <c r="E22" s="1"/>
      <c r="H22" s="1"/>
    </row>
    <row r="23" spans="1:8">
      <c r="A23" t="s">
        <v>1328</v>
      </c>
      <c r="B23">
        <v>6292</v>
      </c>
      <c r="D23" s="8"/>
      <c r="E23" s="1"/>
      <c r="F23" s="1"/>
      <c r="G23" s="1"/>
      <c r="H23" s="1"/>
    </row>
    <row r="24" spans="1:8">
      <c r="A24" t="s">
        <v>1329</v>
      </c>
      <c r="B24">
        <v>6512</v>
      </c>
      <c r="D24" s="8"/>
      <c r="E24" s="1"/>
      <c r="F24" s="1"/>
      <c r="G24" s="1"/>
      <c r="H24" s="1"/>
    </row>
    <row r="25" spans="1:8">
      <c r="A25" t="s">
        <v>1330</v>
      </c>
      <c r="B25">
        <v>16</v>
      </c>
      <c r="D25" s="8"/>
      <c r="E25" s="1"/>
      <c r="H25" s="1"/>
    </row>
    <row r="26" spans="1:8">
      <c r="A26" t="s">
        <v>1331</v>
      </c>
      <c r="B26">
        <v>4</v>
      </c>
      <c r="D26" s="8"/>
      <c r="E26" s="1"/>
      <c r="F26" s="1"/>
      <c r="G26" s="1"/>
      <c r="H26" s="1"/>
    </row>
    <row r="27" spans="1:8">
      <c r="D27" s="8"/>
      <c r="E27" s="1"/>
      <c r="F27" s="1"/>
      <c r="G27" s="1"/>
      <c r="H27" s="1"/>
    </row>
    <row r="28" spans="1:8">
      <c r="D28" s="8"/>
      <c r="E28" s="1"/>
      <c r="F28" s="1"/>
      <c r="G28" s="1"/>
      <c r="H28" s="1"/>
    </row>
    <row r="29" spans="1:8">
      <c r="D29" s="8"/>
      <c r="E29" s="1"/>
      <c r="F29" s="1"/>
      <c r="G29" s="1"/>
      <c r="H29" s="1"/>
    </row>
    <row r="30" spans="1:8">
      <c r="D30" s="8"/>
      <c r="E30" s="1"/>
      <c r="F30" s="1"/>
      <c r="G30" s="1"/>
      <c r="H30" s="1"/>
    </row>
    <row r="31" spans="1:8">
      <c r="D31" s="8"/>
      <c r="E31" s="1"/>
      <c r="F31" s="1"/>
      <c r="G31" s="1"/>
      <c r="H31" s="1"/>
    </row>
    <row r="32" spans="1:8">
      <c r="D32" s="8"/>
      <c r="E32" s="1"/>
      <c r="H32" s="1"/>
    </row>
    <row r="33" spans="4:8">
      <c r="D33" s="8"/>
      <c r="E33" s="1"/>
      <c r="F33" s="1"/>
      <c r="G33" s="1"/>
      <c r="H33" s="1"/>
    </row>
    <row r="34" spans="4:8">
      <c r="D34" s="8"/>
      <c r="E34" s="1"/>
      <c r="F34" s="1"/>
      <c r="G34" s="1"/>
      <c r="H34" s="1"/>
    </row>
    <row r="35" spans="4:8">
      <c r="D35" s="8"/>
      <c r="E35" s="1"/>
      <c r="F35" s="1"/>
      <c r="G35" s="1"/>
      <c r="H35" s="1"/>
    </row>
    <row r="36" spans="4:8">
      <c r="D36" s="8"/>
      <c r="E36" s="1"/>
      <c r="F36" s="1"/>
      <c r="G36" s="1"/>
      <c r="H36" s="1"/>
    </row>
    <row r="37" spans="4:8">
      <c r="D37" s="8"/>
      <c r="E37" s="1"/>
      <c r="F37" s="1"/>
      <c r="G37" s="1"/>
      <c r="H37" s="1"/>
    </row>
    <row r="38" spans="4:8">
      <c r="D38" s="8"/>
      <c r="E38" s="1"/>
      <c r="F38" s="1"/>
      <c r="G38" s="1"/>
      <c r="H38" s="1"/>
    </row>
    <row r="39" spans="4:8">
      <c r="D39" s="8"/>
      <c r="E39" s="1"/>
      <c r="H39" s="1"/>
    </row>
    <row r="40" spans="4:8">
      <c r="D40" s="8"/>
      <c r="E40" s="1"/>
      <c r="F40" s="1"/>
      <c r="H40" s="1"/>
    </row>
    <row r="41" spans="4:8">
      <c r="D41" s="8"/>
      <c r="E41" s="1"/>
      <c r="F41" s="1"/>
      <c r="G41" s="1"/>
      <c r="H41" s="1"/>
    </row>
    <row r="42" spans="4:8">
      <c r="D42" s="8"/>
      <c r="E42" s="1"/>
      <c r="F42" s="1"/>
      <c r="G42" s="1"/>
      <c r="H42" s="1"/>
    </row>
    <row r="43" spans="4:8">
      <c r="D43" s="8"/>
      <c r="E43" s="1"/>
      <c r="F43" s="1"/>
      <c r="G43" s="1"/>
      <c r="H43" s="1"/>
    </row>
    <row r="44" spans="4:8">
      <c r="D44" s="8"/>
      <c r="E44" s="1"/>
      <c r="F44" s="1"/>
      <c r="G44" s="1"/>
      <c r="H44" s="1"/>
    </row>
    <row r="45" spans="4:8">
      <c r="D45" s="8"/>
      <c r="E45" s="1"/>
      <c r="F45" s="1"/>
      <c r="G45" s="1"/>
      <c r="H45" s="1"/>
    </row>
    <row r="46" spans="4:8">
      <c r="D46" s="8"/>
      <c r="E46" s="1"/>
      <c r="F46" s="1"/>
      <c r="G46" s="1"/>
      <c r="H46" s="1"/>
    </row>
    <row r="47" spans="4:8">
      <c r="D47" s="8"/>
      <c r="E47" s="1"/>
      <c r="F47" s="1"/>
      <c r="G47" s="1"/>
      <c r="H47" s="1"/>
    </row>
    <row r="48" spans="4:8">
      <c r="D48" s="8"/>
      <c r="E48" s="1"/>
      <c r="F48" s="1"/>
      <c r="G48" s="1"/>
      <c r="H48" s="1"/>
    </row>
    <row r="49" spans="1:8">
      <c r="D49" s="8"/>
      <c r="E49" s="1"/>
      <c r="F49" s="1"/>
      <c r="G49" s="1"/>
      <c r="H49" s="1"/>
    </row>
    <row r="50" spans="1:8">
      <c r="D50" s="8"/>
      <c r="E50" s="1"/>
      <c r="H50" s="1"/>
    </row>
    <row r="51" spans="1:8">
      <c r="D51" s="8"/>
      <c r="E51" s="1"/>
      <c r="F51" s="1"/>
      <c r="G51" s="1"/>
      <c r="H51" s="1"/>
    </row>
    <row r="52" spans="1:8">
      <c r="D52" s="8"/>
      <c r="E52" s="1"/>
      <c r="F52" s="1"/>
      <c r="G52" s="1"/>
      <c r="H52" s="1"/>
    </row>
    <row r="53" spans="1:8">
      <c r="D53" s="8"/>
      <c r="E53" s="1"/>
      <c r="F53" s="1"/>
      <c r="G53" s="1"/>
      <c r="H53" s="1"/>
    </row>
    <row r="54" spans="1:8">
      <c r="D54" s="8"/>
      <c r="E54" s="1"/>
      <c r="F54" s="1"/>
      <c r="G54" s="1"/>
      <c r="H54" s="1"/>
    </row>
    <row r="55" spans="1:8">
      <c r="D55" s="8"/>
      <c r="E55" s="1"/>
      <c r="F55" s="1"/>
      <c r="G55" s="1"/>
      <c r="H55" s="1"/>
    </row>
    <row r="56" spans="1:8">
      <c r="D56" s="8"/>
      <c r="E56" s="1"/>
      <c r="F56" s="1"/>
      <c r="G56" s="1"/>
      <c r="H56" s="1"/>
    </row>
    <row r="57" spans="1:8">
      <c r="A57" s="2"/>
      <c r="D57" s="8"/>
      <c r="E57" s="1"/>
      <c r="F57" s="1"/>
      <c r="G57" s="1"/>
      <c r="H57" s="1"/>
    </row>
    <row r="58" spans="1:8">
      <c r="D58" s="8"/>
      <c r="E58" s="1"/>
      <c r="F58" s="1"/>
      <c r="G58" s="1"/>
      <c r="H58" s="1"/>
    </row>
    <row r="59" spans="1:8">
      <c r="D59" s="8"/>
      <c r="E59" s="1"/>
      <c r="F59" s="1"/>
      <c r="G59" s="1"/>
      <c r="H59" s="1"/>
    </row>
    <row r="60" spans="1:8">
      <c r="D60" s="8"/>
      <c r="E60" s="1"/>
      <c r="F60" s="1"/>
      <c r="G60" s="1"/>
      <c r="H60" s="1"/>
    </row>
    <row r="61" spans="1:8">
      <c r="D61" s="8"/>
      <c r="H61" s="1"/>
    </row>
    <row r="62" spans="1:8">
      <c r="D62" s="8"/>
      <c r="E62" s="1"/>
      <c r="F62" s="1"/>
      <c r="G62" s="1"/>
      <c r="H62" s="1"/>
    </row>
    <row r="63" spans="1:8">
      <c r="B63" s="2"/>
      <c r="D63" s="8"/>
      <c r="E63" s="1"/>
      <c r="H63" s="1"/>
    </row>
    <row r="64" spans="1:8">
      <c r="D64" s="8"/>
      <c r="E64" s="1"/>
      <c r="F64" s="1"/>
      <c r="G64" s="1"/>
      <c r="H64" s="1"/>
    </row>
    <row r="65" spans="4:8">
      <c r="D65" s="8"/>
      <c r="E65" s="1"/>
      <c r="F65" s="1"/>
      <c r="G65" s="1"/>
      <c r="H65" s="1"/>
    </row>
    <row r="66" spans="4:8">
      <c r="D66" s="8"/>
      <c r="E66" s="1"/>
      <c r="F66" s="1"/>
      <c r="G66" s="1"/>
      <c r="H66" s="1"/>
    </row>
    <row r="67" spans="4:8">
      <c r="D67" s="8"/>
      <c r="E67" s="1"/>
      <c r="F67" s="1"/>
      <c r="G67" s="1"/>
      <c r="H67" s="1"/>
    </row>
    <row r="68" spans="4:8">
      <c r="D68" s="8"/>
      <c r="E68" s="1"/>
      <c r="F68" s="1"/>
      <c r="G68" s="1"/>
      <c r="H68" s="1"/>
    </row>
    <row r="69" spans="4:8">
      <c r="D69" s="8"/>
      <c r="E69" s="1"/>
      <c r="F69" s="1"/>
      <c r="G69" s="1"/>
      <c r="H69" s="1"/>
    </row>
    <row r="70" spans="4:8">
      <c r="D70" s="8"/>
      <c r="E70" s="1"/>
      <c r="F70" s="1"/>
      <c r="G70" s="1"/>
      <c r="H70" s="1"/>
    </row>
    <row r="71" spans="4:8">
      <c r="D71" s="8"/>
      <c r="E71" s="1"/>
      <c r="F71" s="1"/>
      <c r="G71" s="1"/>
      <c r="H71" s="1"/>
    </row>
    <row r="72" spans="4:8">
      <c r="D72" s="8"/>
      <c r="E72" s="1"/>
      <c r="F72" s="1"/>
      <c r="G72" s="1"/>
      <c r="H72" s="1"/>
    </row>
    <row r="73" spans="4:8">
      <c r="D73" s="8"/>
      <c r="E73" s="1"/>
      <c r="F73" s="1"/>
      <c r="G73" s="1"/>
      <c r="H73" s="1"/>
    </row>
    <row r="74" spans="4:8">
      <c r="D74" s="8"/>
      <c r="E74" s="1"/>
      <c r="F74" s="1"/>
      <c r="G74" s="1"/>
      <c r="H74" s="1"/>
    </row>
    <row r="75" spans="4:8">
      <c r="D75" s="8"/>
      <c r="E75" s="1"/>
      <c r="F75" s="1"/>
      <c r="G75" s="1"/>
      <c r="H75" s="1"/>
    </row>
    <row r="76" spans="4:8">
      <c r="D76" s="8"/>
      <c r="E76" s="1"/>
      <c r="F76" s="1"/>
      <c r="G76" s="1"/>
      <c r="H76" s="1"/>
    </row>
    <row r="77" spans="4:8">
      <c r="D77" s="8"/>
      <c r="E77" s="1"/>
      <c r="F77" s="1"/>
      <c r="G77" s="1"/>
      <c r="H77" s="1"/>
    </row>
    <row r="78" spans="4:8">
      <c r="D78" s="8"/>
      <c r="E78" s="1"/>
      <c r="F78" s="1"/>
      <c r="G78" s="1"/>
      <c r="H78" s="1"/>
    </row>
    <row r="79" spans="4:8">
      <c r="D79" s="8"/>
      <c r="E79" s="1"/>
      <c r="F79" s="1"/>
      <c r="H79" s="1"/>
    </row>
    <row r="80" spans="4:8">
      <c r="D80" s="8"/>
      <c r="E80" s="1"/>
      <c r="F80" s="1"/>
      <c r="G80" s="1"/>
      <c r="H80" s="1"/>
    </row>
    <row r="81" spans="4:8">
      <c r="D81" s="8"/>
      <c r="E81" s="1"/>
      <c r="F81" s="1"/>
      <c r="G81" s="1"/>
      <c r="H81" s="1"/>
    </row>
    <row r="82" spans="4:8">
      <c r="D82" s="8"/>
      <c r="E82" s="1"/>
      <c r="F82" s="1"/>
      <c r="G82" s="1"/>
      <c r="H82" s="1"/>
    </row>
    <row r="83" spans="4:8">
      <c r="D83" s="8"/>
      <c r="E83" s="1"/>
      <c r="F83" s="1"/>
      <c r="G83" s="1"/>
      <c r="H83" s="1"/>
    </row>
    <row r="84" spans="4:8">
      <c r="D84" s="8"/>
      <c r="E84" s="1"/>
      <c r="F84" s="1"/>
      <c r="G84" s="1"/>
      <c r="H84" s="1"/>
    </row>
    <row r="85" spans="4:8">
      <c r="D85" s="8"/>
      <c r="E85" s="1"/>
      <c r="F85" s="1"/>
      <c r="G85" s="1"/>
      <c r="H85" s="1"/>
    </row>
    <row r="86" spans="4:8">
      <c r="D86" s="8"/>
      <c r="E86" s="1"/>
      <c r="F86" s="1"/>
      <c r="G86" s="1"/>
      <c r="H86" s="1"/>
    </row>
    <row r="87" spans="4:8">
      <c r="D87" s="8"/>
      <c r="E87" s="1"/>
      <c r="F87" s="1"/>
      <c r="G87" s="1"/>
      <c r="H87" s="1"/>
    </row>
    <row r="88" spans="4:8">
      <c r="D88" s="8"/>
      <c r="E88" s="1"/>
      <c r="F88" s="1"/>
      <c r="G88" s="1"/>
      <c r="H88" s="1"/>
    </row>
    <row r="89" spans="4:8">
      <c r="D89" s="8"/>
      <c r="E89" s="1"/>
      <c r="F89" s="1"/>
      <c r="G89" s="1"/>
      <c r="H89" s="1"/>
    </row>
    <row r="90" spans="4:8">
      <c r="D90" s="8"/>
      <c r="H90" s="1"/>
    </row>
    <row r="91" spans="4:8">
      <c r="D91" s="8"/>
      <c r="E91" s="1"/>
      <c r="F91" s="1"/>
      <c r="G91" s="1"/>
      <c r="H91" s="1"/>
    </row>
    <row r="92" spans="4:8">
      <c r="D92" s="8"/>
      <c r="E92" s="1"/>
      <c r="F92" s="1"/>
      <c r="H92" s="1"/>
    </row>
    <row r="93" spans="4:8">
      <c r="D93" s="8"/>
      <c r="E93" s="1"/>
      <c r="F93" s="1"/>
      <c r="G93" s="1"/>
      <c r="H93" s="1"/>
    </row>
    <row r="94" spans="4:8">
      <c r="D94" s="8"/>
      <c r="E94" s="1"/>
      <c r="F94" s="1"/>
      <c r="G94" s="1"/>
      <c r="H94" s="1"/>
    </row>
    <row r="95" spans="4:8">
      <c r="D95" s="8"/>
      <c r="E95" s="1"/>
      <c r="F95" s="1"/>
      <c r="G95" s="1"/>
      <c r="H95" s="1"/>
    </row>
    <row r="96" spans="4:8">
      <c r="D96" s="8"/>
      <c r="E96" s="1"/>
      <c r="F96" s="1"/>
      <c r="G96" s="1"/>
      <c r="H96" s="1"/>
    </row>
    <row r="97" spans="4:8">
      <c r="D97" s="8"/>
      <c r="E97" s="1"/>
      <c r="F97" s="1"/>
      <c r="G97" s="1"/>
      <c r="H97" s="1"/>
    </row>
    <row r="98" spans="4:8">
      <c r="D98" s="8"/>
      <c r="E98" s="1"/>
      <c r="H98" s="1"/>
    </row>
    <row r="99" spans="4:8">
      <c r="D99" s="8"/>
      <c r="E99" s="1"/>
      <c r="H99" s="1"/>
    </row>
    <row r="100" spans="4:8">
      <c r="D100" s="8"/>
      <c r="E100" s="1"/>
      <c r="F100" s="1"/>
      <c r="H100" s="1"/>
    </row>
    <row r="101" spans="4:8">
      <c r="D101" s="8"/>
      <c r="E101" s="1"/>
      <c r="F101" s="1"/>
      <c r="G101" s="1"/>
      <c r="H101" s="1"/>
    </row>
    <row r="102" spans="4:8">
      <c r="D102" s="8"/>
      <c r="E102" s="1"/>
      <c r="F102" s="1"/>
      <c r="G102" s="1"/>
      <c r="H102" s="1"/>
    </row>
    <row r="103" spans="4:8">
      <c r="D103" s="8"/>
      <c r="E103" s="1"/>
      <c r="F103" s="1"/>
      <c r="G103" s="1"/>
      <c r="H103" s="1"/>
    </row>
    <row r="104" spans="4:8">
      <c r="D104" s="8"/>
      <c r="E104" s="1"/>
      <c r="F104" s="1"/>
      <c r="G104" s="1"/>
      <c r="H104" s="1"/>
    </row>
    <row r="105" spans="4:8">
      <c r="D105" s="8"/>
      <c r="E105" s="1"/>
      <c r="F105" s="1"/>
      <c r="H105" s="1"/>
    </row>
    <row r="106" spans="4:8">
      <c r="D106" s="8"/>
      <c r="E106" s="1"/>
      <c r="F106" s="1"/>
      <c r="G106" s="1"/>
      <c r="H106" s="1"/>
    </row>
    <row r="107" spans="4:8">
      <c r="D107" s="8"/>
      <c r="E107" s="1"/>
      <c r="F107" s="1"/>
      <c r="G107" s="1"/>
      <c r="H107" s="1"/>
    </row>
    <row r="108" spans="4:8">
      <c r="D108" s="8"/>
      <c r="E108" s="1"/>
      <c r="F108" s="1"/>
      <c r="G108" s="1"/>
      <c r="H108" s="1"/>
    </row>
    <row r="109" spans="4:8">
      <c r="D109" s="8"/>
      <c r="E109" s="1"/>
      <c r="F109" s="1"/>
      <c r="G109" s="1"/>
      <c r="H109" s="1"/>
    </row>
    <row r="110" spans="4:8">
      <c r="D110" s="8"/>
      <c r="E110" s="1"/>
      <c r="H110" s="1"/>
    </row>
    <row r="111" spans="4:8">
      <c r="D111" s="8"/>
      <c r="E111" s="1"/>
      <c r="H111" s="1"/>
    </row>
    <row r="112" spans="4:8">
      <c r="D112" s="8"/>
      <c r="E112" s="1"/>
      <c r="F112" s="1"/>
      <c r="G112" s="1"/>
      <c r="H112" s="1"/>
    </row>
    <row r="113" spans="4:8">
      <c r="D113" s="8"/>
      <c r="E113" s="1"/>
      <c r="F113" s="1"/>
      <c r="G113" s="1"/>
      <c r="H113" s="1"/>
    </row>
    <row r="114" spans="4:8">
      <c r="D114" s="8"/>
      <c r="E114" s="1"/>
      <c r="F114" s="1"/>
      <c r="G114" s="1"/>
      <c r="H114" s="1"/>
    </row>
    <row r="115" spans="4:8">
      <c r="D115" s="8"/>
      <c r="E115" s="1"/>
      <c r="F115" s="1"/>
      <c r="G115" s="1"/>
      <c r="H115" s="1"/>
    </row>
    <row r="116" spans="4:8">
      <c r="D116" s="8"/>
      <c r="E116" s="1"/>
      <c r="F116" s="1"/>
      <c r="G116" s="1"/>
      <c r="H116" s="1"/>
    </row>
    <row r="117" spans="4:8">
      <c r="D117" s="8"/>
      <c r="E117" s="1"/>
      <c r="H117" s="1"/>
    </row>
    <row r="118" spans="4:8">
      <c r="D118" s="8"/>
      <c r="E118" s="1"/>
      <c r="F118" s="1"/>
      <c r="G118" s="1"/>
      <c r="H118" s="1"/>
    </row>
    <row r="119" spans="4:8">
      <c r="D119" s="8"/>
      <c r="E119" s="1"/>
      <c r="F119" s="1"/>
      <c r="G119" s="1"/>
      <c r="H119" s="1"/>
    </row>
    <row r="120" spans="4:8">
      <c r="D120" s="8"/>
      <c r="E120" s="1"/>
      <c r="F120" s="1"/>
      <c r="G120" s="1"/>
      <c r="H120" s="1"/>
    </row>
    <row r="121" spans="4:8">
      <c r="D121" s="8"/>
      <c r="E121" s="1"/>
      <c r="H121" s="1"/>
    </row>
    <row r="122" spans="4:8">
      <c r="D122" s="8"/>
      <c r="E122" s="1"/>
      <c r="H122" s="1"/>
    </row>
    <row r="123" spans="4:8">
      <c r="D123" s="8"/>
      <c r="E123" s="1"/>
      <c r="F123" s="1"/>
      <c r="G123" s="1"/>
      <c r="H123" s="1"/>
    </row>
    <row r="124" spans="4:8">
      <c r="D124" s="8"/>
      <c r="E124" s="1"/>
      <c r="F124" s="1"/>
      <c r="G124" s="1"/>
      <c r="H124" s="1"/>
    </row>
    <row r="125" spans="4:8">
      <c r="D125" s="8"/>
      <c r="E125" s="1"/>
      <c r="F125" s="1"/>
      <c r="G125" s="1"/>
      <c r="H125" s="1"/>
    </row>
    <row r="126" spans="4:8">
      <c r="D126" s="8"/>
      <c r="E126" s="1"/>
      <c r="H126" s="1"/>
    </row>
    <row r="127" spans="4:8">
      <c r="D127" s="8"/>
      <c r="E127" s="1"/>
      <c r="F127" s="1"/>
      <c r="G127" s="1"/>
      <c r="H127" s="1"/>
    </row>
    <row r="128" spans="4:8">
      <c r="D128" s="8"/>
      <c r="E128" s="1"/>
      <c r="F128" s="1"/>
      <c r="G128" s="1"/>
      <c r="H128" s="1"/>
    </row>
    <row r="129" spans="2:8">
      <c r="D129" s="8"/>
      <c r="E129" s="1"/>
      <c r="F129" s="1"/>
      <c r="G129" s="1"/>
      <c r="H129" s="1"/>
    </row>
    <row r="130" spans="2:8">
      <c r="B130" s="2"/>
      <c r="D130" s="8"/>
      <c r="E130" s="1"/>
      <c r="F130" s="1"/>
      <c r="G130" s="1"/>
      <c r="H130" s="1"/>
    </row>
    <row r="131" spans="2:8">
      <c r="D131" s="8"/>
      <c r="E131" s="1"/>
      <c r="F131" s="1"/>
      <c r="G131" s="1"/>
      <c r="H131" s="1"/>
    </row>
    <row r="132" spans="2:8">
      <c r="D132" s="8"/>
      <c r="E132" s="1"/>
      <c r="F132" s="1"/>
      <c r="G132" s="1"/>
      <c r="H132" s="1"/>
    </row>
    <row r="133" spans="2:8">
      <c r="D133" s="8"/>
      <c r="E133" s="1"/>
      <c r="F133" s="1"/>
      <c r="G133" s="1"/>
      <c r="H133" s="1"/>
    </row>
    <row r="134" spans="2:8">
      <c r="D134" s="8"/>
      <c r="E134" s="1"/>
      <c r="F134" s="1"/>
      <c r="G134" s="1"/>
      <c r="H134" s="1"/>
    </row>
    <row r="135" spans="2:8">
      <c r="D135" s="8"/>
      <c r="E135" s="1"/>
      <c r="F135" s="1"/>
      <c r="G135" s="1"/>
      <c r="H135" s="1"/>
    </row>
    <row r="136" spans="2:8">
      <c r="D136" s="8"/>
      <c r="E136" s="1"/>
      <c r="F136" s="1"/>
      <c r="G136" s="1"/>
      <c r="H136" s="1"/>
    </row>
    <row r="137" spans="2:8">
      <c r="D137" s="8"/>
      <c r="E137" s="1"/>
      <c r="F137" s="1"/>
      <c r="G137" s="1"/>
      <c r="H137" s="1"/>
    </row>
    <row r="138" spans="2:8">
      <c r="D138" s="8"/>
      <c r="E138" s="1"/>
      <c r="F138" s="1"/>
      <c r="G138" s="1"/>
      <c r="H138" s="1"/>
    </row>
    <row r="139" spans="2:8">
      <c r="D139" s="8"/>
      <c r="E139" s="1"/>
      <c r="F139" s="1"/>
      <c r="G139" s="1"/>
      <c r="H139" s="1"/>
    </row>
    <row r="140" spans="2:8">
      <c r="D140" s="8"/>
      <c r="E140" s="1"/>
      <c r="F140" s="1"/>
      <c r="G140" s="1"/>
      <c r="H140" s="1"/>
    </row>
    <row r="141" spans="2:8">
      <c r="D141" s="8"/>
      <c r="E141" s="1"/>
      <c r="F141" s="1"/>
      <c r="G141" s="1"/>
      <c r="H141" s="1"/>
    </row>
    <row r="142" spans="2:8">
      <c r="D142" s="8"/>
      <c r="E142" s="1"/>
      <c r="H142" s="1"/>
    </row>
    <row r="143" spans="2:8">
      <c r="D143" s="8"/>
      <c r="E143" s="1"/>
      <c r="F143" s="1"/>
      <c r="G143" s="1"/>
      <c r="H143" s="1"/>
    </row>
    <row r="144" spans="2:8">
      <c r="D144" s="8"/>
      <c r="E144" s="1"/>
      <c r="F144" s="1"/>
      <c r="G144" s="1"/>
      <c r="H144" s="1"/>
    </row>
    <row r="145" spans="4:8">
      <c r="D145" s="8"/>
      <c r="E145" s="1"/>
      <c r="H145" s="1"/>
    </row>
    <row r="146" spans="4:8">
      <c r="D146" s="8"/>
      <c r="E146" s="1"/>
      <c r="F146" s="1"/>
      <c r="G146" s="1"/>
      <c r="H146" s="1"/>
    </row>
    <row r="147" spans="4:8">
      <c r="D147" s="8"/>
      <c r="H147" s="1"/>
    </row>
    <row r="148" spans="4:8">
      <c r="D148" s="8"/>
      <c r="E148" s="1"/>
      <c r="H148" s="1"/>
    </row>
    <row r="149" spans="4:8">
      <c r="D149" s="8"/>
      <c r="E149" s="1"/>
      <c r="H149" s="1"/>
    </row>
    <row r="150" spans="4:8">
      <c r="D150" s="8"/>
      <c r="E150" s="1"/>
      <c r="F150" s="1"/>
      <c r="G150" s="1"/>
      <c r="H150" s="1"/>
    </row>
    <row r="151" spans="4:8">
      <c r="D151" s="8"/>
      <c r="E151" s="1"/>
      <c r="H151" s="1"/>
    </row>
    <row r="152" spans="4:8">
      <c r="D152" s="8"/>
      <c r="E152" s="1"/>
      <c r="F152" s="1"/>
      <c r="G152" s="1"/>
      <c r="H152" s="1"/>
    </row>
    <row r="153" spans="4:8">
      <c r="D153" s="8"/>
      <c r="E153" s="1"/>
      <c r="F153" s="1"/>
      <c r="G153" s="1"/>
      <c r="H153" s="1"/>
    </row>
    <row r="154" spans="4:8">
      <c r="D154" s="8"/>
      <c r="E154" s="1"/>
      <c r="F154" s="1"/>
      <c r="G154" s="1"/>
      <c r="H154" s="1"/>
    </row>
    <row r="155" spans="4:8">
      <c r="D155" s="8"/>
      <c r="E155" s="1"/>
      <c r="F155" s="1"/>
      <c r="G155" s="1"/>
      <c r="H155" s="1"/>
    </row>
    <row r="156" spans="4:8">
      <c r="D156" s="8"/>
      <c r="E156" s="1"/>
      <c r="F156" s="1"/>
      <c r="G156" s="1"/>
      <c r="H156" s="1"/>
    </row>
    <row r="157" spans="4:8">
      <c r="D157" s="8"/>
      <c r="E157" s="1"/>
      <c r="H157" s="1"/>
    </row>
    <row r="158" spans="4:8">
      <c r="D158" s="8"/>
      <c r="E158" s="1"/>
      <c r="F158" s="1"/>
      <c r="G158" s="1"/>
      <c r="H158" s="1"/>
    </row>
    <row r="159" spans="4:8">
      <c r="D159" s="8"/>
      <c r="E159" s="1"/>
      <c r="F159" s="1"/>
      <c r="G159" s="1"/>
      <c r="H159" s="1"/>
    </row>
    <row r="160" spans="4:8">
      <c r="D160" s="8"/>
      <c r="E160" s="1"/>
      <c r="F160" s="1"/>
      <c r="G160" s="1"/>
      <c r="H160" s="1"/>
    </row>
    <row r="161" spans="1:8">
      <c r="D161" s="8"/>
      <c r="E161" s="1"/>
      <c r="F161" s="1"/>
      <c r="G161" s="1"/>
      <c r="H161" s="1"/>
    </row>
    <row r="162" spans="1:8">
      <c r="D162" s="8"/>
      <c r="E162" s="1"/>
      <c r="F162" s="1"/>
      <c r="G162" s="1"/>
      <c r="H162" s="1"/>
    </row>
    <row r="163" spans="1:8">
      <c r="D163" s="8"/>
      <c r="E163" s="1"/>
      <c r="F163" s="1"/>
      <c r="G163" s="1"/>
      <c r="H163" s="1"/>
    </row>
    <row r="164" spans="1:8">
      <c r="A164" s="2"/>
      <c r="D164" s="8"/>
      <c r="E164" s="1"/>
      <c r="F164" s="1"/>
      <c r="G164" s="1"/>
      <c r="H164" s="1"/>
    </row>
    <row r="165" spans="1:8">
      <c r="D165" s="8"/>
      <c r="E165" s="1"/>
      <c r="F165" s="1"/>
      <c r="G165" s="1"/>
      <c r="H165" s="1"/>
    </row>
    <row r="166" spans="1:8">
      <c r="D166" s="8"/>
      <c r="E166" s="1"/>
      <c r="F166" s="1"/>
      <c r="G166" s="1"/>
      <c r="H166" s="1"/>
    </row>
    <row r="167" spans="1:8">
      <c r="B167" s="2"/>
      <c r="D167" s="8"/>
      <c r="E167" s="1"/>
      <c r="F167" s="1"/>
      <c r="G167" s="1"/>
      <c r="H167" s="1"/>
    </row>
    <row r="168" spans="1:8">
      <c r="D168" s="8"/>
      <c r="E168" s="1"/>
      <c r="F168" s="1"/>
      <c r="G168" s="1"/>
      <c r="H168" s="1"/>
    </row>
    <row r="169" spans="1:8">
      <c r="D169" s="8"/>
      <c r="E169" s="1"/>
      <c r="F169" s="1"/>
      <c r="G169" s="1"/>
      <c r="H169" s="1"/>
    </row>
    <row r="170" spans="1:8">
      <c r="D170" s="8"/>
      <c r="H170" s="1"/>
    </row>
    <row r="171" spans="1:8">
      <c r="D171" s="8"/>
      <c r="E171" s="1"/>
      <c r="F171" s="1"/>
      <c r="G171" s="1"/>
      <c r="H171" s="1"/>
    </row>
    <row r="172" spans="1:8">
      <c r="D172" s="8"/>
      <c r="E172" s="1"/>
      <c r="F172" s="1"/>
      <c r="G172" s="1"/>
      <c r="H172" s="1"/>
    </row>
    <row r="173" spans="1:8">
      <c r="D173" s="8"/>
      <c r="E173" s="1"/>
      <c r="F173" s="1"/>
      <c r="G173" s="1"/>
      <c r="H173" s="1"/>
    </row>
    <row r="174" spans="1:8">
      <c r="D174" s="8"/>
      <c r="E174" s="1"/>
      <c r="F174" s="1"/>
      <c r="G174" s="1"/>
      <c r="H174" s="1"/>
    </row>
    <row r="175" spans="1:8">
      <c r="D175" s="8"/>
      <c r="E175" s="1"/>
      <c r="H175" s="1"/>
    </row>
    <row r="176" spans="1:8">
      <c r="D176" s="8"/>
      <c r="E176" s="1"/>
      <c r="F176" s="1"/>
      <c r="G176" s="1"/>
      <c r="H176" s="1"/>
    </row>
    <row r="177" spans="4:8">
      <c r="D177" s="8"/>
      <c r="E177" s="1"/>
      <c r="F177" s="1"/>
      <c r="G177" s="1"/>
      <c r="H177" s="1"/>
    </row>
    <row r="178" spans="4:8">
      <c r="D178" s="8"/>
      <c r="E178" s="1"/>
      <c r="F178" s="1"/>
      <c r="G178" s="1"/>
      <c r="H178" s="1"/>
    </row>
    <row r="179" spans="4:8">
      <c r="D179" s="8"/>
      <c r="E179" s="1"/>
      <c r="F179" s="1"/>
      <c r="G179" s="1"/>
      <c r="H179" s="1"/>
    </row>
    <row r="180" spans="4:8">
      <c r="D180" s="8"/>
      <c r="E180" s="1"/>
      <c r="H180" s="1"/>
    </row>
    <row r="181" spans="4:8">
      <c r="D181" s="8"/>
      <c r="E181" s="1"/>
      <c r="F181" s="1"/>
      <c r="G181" s="1"/>
      <c r="H181" s="1"/>
    </row>
    <row r="182" spans="4:8">
      <c r="D182" s="8"/>
      <c r="E182" s="1"/>
      <c r="F182" s="1"/>
      <c r="G182" s="1"/>
      <c r="H182" s="1"/>
    </row>
    <row r="183" spans="4:8">
      <c r="D183" s="8"/>
      <c r="E183" s="1"/>
      <c r="F183" s="1"/>
      <c r="G183" s="1"/>
      <c r="H183" s="1"/>
    </row>
    <row r="184" spans="4:8">
      <c r="D184" s="8"/>
      <c r="E184" s="1"/>
      <c r="F184" s="1"/>
      <c r="G184" s="1"/>
      <c r="H184" s="1"/>
    </row>
    <row r="185" spans="4:8">
      <c r="D185" s="8"/>
      <c r="E185" s="1"/>
      <c r="F185" s="1"/>
      <c r="G185" s="1"/>
      <c r="H185" s="1"/>
    </row>
    <row r="186" spans="4:8">
      <c r="D186" s="8"/>
      <c r="E186" s="1"/>
      <c r="F186" s="1"/>
      <c r="G186" s="1"/>
      <c r="H186" s="1"/>
    </row>
    <row r="187" spans="4:8">
      <c r="D187" s="8"/>
      <c r="E187" s="1"/>
      <c r="F187" s="1"/>
      <c r="G187" s="1"/>
      <c r="H187" s="1"/>
    </row>
    <row r="188" spans="4:8">
      <c r="D188" s="8"/>
      <c r="E188" s="1"/>
      <c r="F188" s="1"/>
      <c r="G188" s="1"/>
      <c r="H188" s="1"/>
    </row>
    <row r="189" spans="4:8">
      <c r="D189" s="8"/>
      <c r="E189" s="1"/>
      <c r="F189" s="1"/>
      <c r="G189" s="1"/>
      <c r="H189" s="1"/>
    </row>
    <row r="190" spans="4:8">
      <c r="D190" s="8"/>
      <c r="E190" s="1"/>
      <c r="H190" s="1"/>
    </row>
    <row r="191" spans="4:8">
      <c r="D191" s="8"/>
      <c r="E191" s="1"/>
      <c r="F191" s="1"/>
      <c r="G191" s="1"/>
      <c r="H191" s="1"/>
    </row>
    <row r="192" spans="4:8">
      <c r="D192" s="8"/>
      <c r="E192" s="1"/>
      <c r="F192" s="1"/>
      <c r="G192" s="1"/>
      <c r="H192" s="1"/>
    </row>
    <row r="193" spans="4:8">
      <c r="D193" s="8"/>
      <c r="E193" s="1"/>
      <c r="F193" s="1"/>
      <c r="G193" s="1"/>
      <c r="H193" s="1"/>
    </row>
    <row r="194" spans="4:8">
      <c r="D194" s="8"/>
      <c r="E194" s="1"/>
      <c r="F194" s="1"/>
      <c r="G194" s="1"/>
      <c r="H194" s="1"/>
    </row>
    <row r="195" spans="4:8">
      <c r="D195" s="8"/>
      <c r="E195" s="1"/>
      <c r="F195" s="1"/>
      <c r="G195" s="1"/>
      <c r="H195" s="1"/>
    </row>
    <row r="196" spans="4:8">
      <c r="D196" s="8"/>
      <c r="E196" s="1"/>
      <c r="F196" s="1"/>
      <c r="G196" s="1"/>
      <c r="H196" s="1"/>
    </row>
    <row r="197" spans="4:8">
      <c r="D197" s="8"/>
      <c r="H197" s="1"/>
    </row>
    <row r="198" spans="4:8">
      <c r="D198" s="8"/>
      <c r="E198" s="1"/>
      <c r="F198" s="1"/>
      <c r="G198" s="1"/>
      <c r="H198" s="1"/>
    </row>
    <row r="199" spans="4:8">
      <c r="D199" s="8"/>
      <c r="E199" s="1"/>
      <c r="F199" s="1"/>
      <c r="G199" s="1"/>
      <c r="H199" s="1"/>
    </row>
    <row r="200" spans="4:8">
      <c r="D200" s="8"/>
      <c r="E200" s="1"/>
      <c r="F200" s="1"/>
      <c r="G200" s="1"/>
      <c r="H200" s="1"/>
    </row>
    <row r="201" spans="4:8">
      <c r="D201" s="8"/>
      <c r="E201" s="1"/>
      <c r="F201" s="1"/>
      <c r="G201" s="1"/>
      <c r="H201" s="1"/>
    </row>
    <row r="202" spans="4:8">
      <c r="D202" s="8"/>
      <c r="E202" s="1"/>
      <c r="F202" s="1"/>
      <c r="G202" s="1"/>
      <c r="H202" s="1"/>
    </row>
    <row r="203" spans="4:8">
      <c r="D203" s="8"/>
      <c r="E203" s="1"/>
      <c r="F203" s="1"/>
      <c r="G203" s="1"/>
      <c r="H203" s="1"/>
    </row>
    <row r="204" spans="4:8">
      <c r="D204" s="8"/>
      <c r="E204" s="1"/>
      <c r="F204" s="1"/>
      <c r="H204" s="1"/>
    </row>
    <row r="205" spans="4:8">
      <c r="D205" s="8"/>
      <c r="E205" s="1"/>
      <c r="F205" s="1"/>
      <c r="G205" s="1"/>
      <c r="H205" s="1"/>
    </row>
    <row r="206" spans="4:8">
      <c r="D206" s="8"/>
      <c r="E206" s="1"/>
      <c r="F206" s="1"/>
      <c r="G206" s="1"/>
      <c r="H206" s="1"/>
    </row>
    <row r="207" spans="4:8">
      <c r="D207" s="8"/>
      <c r="E207" s="1"/>
      <c r="F207" s="1"/>
      <c r="G207" s="1"/>
      <c r="H207" s="1"/>
    </row>
    <row r="208" spans="4:8">
      <c r="D208" s="8"/>
      <c r="E208" s="1"/>
      <c r="F208" s="1"/>
      <c r="G208" s="1"/>
      <c r="H208" s="1"/>
    </row>
    <row r="209" spans="1:8">
      <c r="D209" s="8"/>
      <c r="E209" s="1"/>
      <c r="F209" s="1"/>
      <c r="G209" s="1"/>
      <c r="H209" s="1"/>
    </row>
    <row r="210" spans="1:8">
      <c r="D210" s="8"/>
      <c r="E210" s="1"/>
      <c r="H210" s="1"/>
    </row>
    <row r="211" spans="1:8">
      <c r="D211" s="8"/>
      <c r="E211" s="1"/>
      <c r="F211" s="1"/>
      <c r="G211" s="1"/>
      <c r="H211" s="1"/>
    </row>
    <row r="212" spans="1:8">
      <c r="D212" s="8"/>
      <c r="E212" s="1"/>
      <c r="F212" s="1"/>
      <c r="G212" s="1"/>
      <c r="H212" s="1"/>
    </row>
    <row r="213" spans="1:8">
      <c r="D213" s="8"/>
      <c r="E213" s="1"/>
      <c r="F213" s="1"/>
      <c r="H213" s="1"/>
    </row>
    <row r="214" spans="1:8">
      <c r="D214" s="8"/>
      <c r="E214" s="1"/>
      <c r="F214" s="1"/>
      <c r="G214" s="1"/>
      <c r="H214" s="1"/>
    </row>
    <row r="215" spans="1:8">
      <c r="D215" s="8"/>
      <c r="E215" s="1"/>
      <c r="F215" s="1"/>
      <c r="G215" s="1"/>
      <c r="H215" s="1"/>
    </row>
    <row r="216" spans="1:8">
      <c r="D216" s="8"/>
      <c r="E216" s="1"/>
      <c r="F216" s="1"/>
      <c r="G216" s="1"/>
      <c r="H216" s="1"/>
    </row>
    <row r="217" spans="1:8">
      <c r="D217" s="8"/>
      <c r="E217" s="1"/>
      <c r="F217" s="1"/>
      <c r="G217" s="1"/>
      <c r="H217" s="1"/>
    </row>
    <row r="218" spans="1:8">
      <c r="A218" s="2"/>
      <c r="D218" s="8"/>
      <c r="E218" s="1"/>
      <c r="F218" s="1"/>
      <c r="H218" s="1"/>
    </row>
    <row r="219" spans="1:8">
      <c r="D219" s="8"/>
      <c r="E219" s="1"/>
      <c r="F219" s="1"/>
      <c r="G219" s="1"/>
      <c r="H219" s="1"/>
    </row>
    <row r="220" spans="1:8">
      <c r="D220" s="8"/>
      <c r="E220" s="1"/>
      <c r="F220" s="1"/>
      <c r="G220" s="1"/>
      <c r="H220" s="1"/>
    </row>
    <row r="221" spans="1:8">
      <c r="D221" s="8"/>
      <c r="E221" s="1"/>
      <c r="F221" s="1"/>
      <c r="G221" s="1"/>
      <c r="H221" s="1"/>
    </row>
    <row r="222" spans="1:8">
      <c r="D222" s="8"/>
      <c r="E222" s="1"/>
      <c r="F222" s="1"/>
      <c r="G222" s="1"/>
      <c r="H222" s="1"/>
    </row>
    <row r="223" spans="1:8">
      <c r="D223" s="8"/>
      <c r="E223" s="1"/>
      <c r="F223" s="1"/>
      <c r="G223" s="1"/>
      <c r="H223" s="1"/>
    </row>
    <row r="224" spans="1:8">
      <c r="D224" s="8"/>
      <c r="E224" s="1"/>
      <c r="F224" s="1"/>
      <c r="G224" s="1"/>
      <c r="H224" s="1"/>
    </row>
    <row r="225" spans="4:8">
      <c r="D225" s="8"/>
      <c r="E225" s="1"/>
      <c r="H225" s="1"/>
    </row>
    <row r="226" spans="4:8">
      <c r="D226" s="8"/>
      <c r="E226" s="1"/>
      <c r="F226" s="1"/>
      <c r="G226" s="1"/>
      <c r="H226" s="1"/>
    </row>
    <row r="227" spans="4:8">
      <c r="D227" s="8"/>
      <c r="E227" s="1"/>
      <c r="F227" s="1"/>
      <c r="G227" s="1"/>
      <c r="H227" s="1"/>
    </row>
    <row r="228" spans="4:8">
      <c r="D228" s="8"/>
      <c r="E228" s="1"/>
      <c r="F228" s="1"/>
      <c r="G228" s="1"/>
      <c r="H228" s="1"/>
    </row>
    <row r="229" spans="4:8">
      <c r="D229" s="8"/>
      <c r="E229" s="1"/>
      <c r="F229" s="1"/>
      <c r="G229" s="1"/>
      <c r="H229" s="1"/>
    </row>
    <row r="230" spans="4:8">
      <c r="D230" s="8"/>
      <c r="E230" s="1"/>
      <c r="F230" s="1"/>
      <c r="G230" s="1"/>
      <c r="H230" s="1"/>
    </row>
    <row r="231" spans="4:8">
      <c r="D231" s="8"/>
      <c r="E231" s="1"/>
      <c r="F231" s="1"/>
      <c r="G231" s="1"/>
      <c r="H231" s="1"/>
    </row>
    <row r="232" spans="4:8">
      <c r="D232" s="8"/>
      <c r="E232" s="1"/>
      <c r="F232" s="1"/>
      <c r="G232" s="1"/>
      <c r="H232" s="1"/>
    </row>
    <row r="233" spans="4:8">
      <c r="D233" s="8"/>
      <c r="E233" s="1"/>
      <c r="F233" s="1"/>
      <c r="G233" s="1"/>
      <c r="H233" s="1"/>
    </row>
    <row r="234" spans="4:8">
      <c r="D234" s="8"/>
      <c r="E234" s="1"/>
      <c r="F234" s="1"/>
      <c r="G234" s="1"/>
      <c r="H234" s="1"/>
    </row>
    <row r="235" spans="4:8">
      <c r="D235" s="8"/>
      <c r="E235" s="1"/>
      <c r="H235" s="1"/>
    </row>
    <row r="236" spans="4:8">
      <c r="D236" s="8"/>
      <c r="E236" s="1"/>
      <c r="F236" s="1"/>
      <c r="G236" s="1"/>
      <c r="H236" s="1"/>
    </row>
    <row r="237" spans="4:8">
      <c r="D237" s="8"/>
      <c r="E237" s="1"/>
      <c r="H237" s="1"/>
    </row>
    <row r="238" spans="4:8">
      <c r="D238" s="8"/>
      <c r="E238" s="1"/>
      <c r="H238" s="1"/>
    </row>
    <row r="239" spans="4:8">
      <c r="D239" s="8"/>
      <c r="E239" s="1"/>
      <c r="F239" s="1"/>
      <c r="G239" s="1"/>
      <c r="H239" s="1"/>
    </row>
    <row r="240" spans="4:8">
      <c r="D240" s="8"/>
      <c r="E240" s="1"/>
      <c r="F240" s="1"/>
      <c r="G240" s="1"/>
      <c r="H240" s="1"/>
    </row>
    <row r="241" spans="4:8">
      <c r="D241" s="8"/>
      <c r="E241" s="1"/>
      <c r="F241" s="1"/>
      <c r="G241" s="1"/>
      <c r="H241" s="1"/>
    </row>
    <row r="242" spans="4:8">
      <c r="D242" s="8"/>
      <c r="E242" s="1"/>
      <c r="F242" s="1"/>
      <c r="G242" s="1"/>
      <c r="H242" s="1"/>
    </row>
    <row r="243" spans="4:8">
      <c r="D243" s="8"/>
      <c r="E243" s="1"/>
      <c r="F243" s="1"/>
      <c r="G243" s="1"/>
      <c r="H243" s="1"/>
    </row>
    <row r="244" spans="4:8">
      <c r="D244" s="8"/>
      <c r="E244" s="1"/>
      <c r="F244" s="1"/>
      <c r="G244" s="1"/>
      <c r="H244" s="1"/>
    </row>
    <row r="245" spans="4:8">
      <c r="D245" s="8"/>
      <c r="E245" s="1"/>
      <c r="F245" s="1"/>
      <c r="G245" s="1"/>
      <c r="H245" s="1"/>
    </row>
    <row r="246" spans="4:8">
      <c r="D246" s="8"/>
      <c r="E246" s="1"/>
      <c r="F246" s="1"/>
      <c r="G246" s="1"/>
      <c r="H246" s="1"/>
    </row>
    <row r="247" spans="4:8">
      <c r="D247" s="8"/>
      <c r="E247" s="1"/>
      <c r="F247" s="1"/>
      <c r="G247" s="1"/>
      <c r="H247" s="1"/>
    </row>
    <row r="248" spans="4:8">
      <c r="D248" s="8"/>
      <c r="E248" s="1"/>
      <c r="F248" s="1"/>
      <c r="G248" s="1"/>
      <c r="H248" s="1"/>
    </row>
    <row r="249" spans="4:8">
      <c r="D249" s="8"/>
      <c r="E249" s="1"/>
      <c r="F249" s="1"/>
      <c r="G249" s="1"/>
      <c r="H249" s="1"/>
    </row>
    <row r="250" spans="4:8">
      <c r="D250" s="8"/>
      <c r="E250" s="1"/>
      <c r="F250" s="1"/>
      <c r="G250" s="1"/>
      <c r="H250" s="1"/>
    </row>
    <row r="251" spans="4:8">
      <c r="D251" s="8"/>
      <c r="E251" s="1"/>
      <c r="F251" s="1"/>
      <c r="G251" s="1"/>
      <c r="H251" s="1"/>
    </row>
    <row r="252" spans="4:8">
      <c r="D252" s="8"/>
      <c r="E252" s="1"/>
      <c r="F252" s="1"/>
      <c r="G252" s="1"/>
      <c r="H252" s="1"/>
    </row>
    <row r="253" spans="4:8">
      <c r="D253" s="8"/>
      <c r="E253" s="1"/>
      <c r="F253" s="1"/>
      <c r="G253" s="1"/>
      <c r="H253" s="1"/>
    </row>
    <row r="254" spans="4:8">
      <c r="D254" s="8"/>
      <c r="E254" s="1"/>
      <c r="F254" s="1"/>
      <c r="G254" s="1"/>
      <c r="H254" s="1"/>
    </row>
    <row r="255" spans="4:8">
      <c r="D255" s="8"/>
      <c r="E255" s="1"/>
      <c r="F255" s="1"/>
      <c r="G255" s="1"/>
      <c r="H255" s="1"/>
    </row>
    <row r="256" spans="4:8">
      <c r="D256" s="8"/>
      <c r="E256" s="1"/>
      <c r="F256" s="1"/>
      <c r="G256" s="1"/>
      <c r="H256" s="1"/>
    </row>
    <row r="257" spans="4:8">
      <c r="D257" s="8"/>
      <c r="E257" s="1"/>
      <c r="F257" s="1"/>
      <c r="G257" s="1"/>
      <c r="H257" s="1"/>
    </row>
    <row r="258" spans="4:8">
      <c r="D258" s="8"/>
      <c r="E258" s="1"/>
      <c r="F258" s="1"/>
      <c r="G258" s="1"/>
      <c r="H258" s="1"/>
    </row>
    <row r="259" spans="4:8">
      <c r="D259" s="8"/>
      <c r="E259" s="1"/>
      <c r="H259" s="1"/>
    </row>
    <row r="260" spans="4:8">
      <c r="D260" s="8"/>
      <c r="E260" s="1"/>
      <c r="F260" s="1"/>
      <c r="G260" s="1"/>
      <c r="H260" s="1"/>
    </row>
    <row r="261" spans="4:8">
      <c r="D261" s="8"/>
      <c r="E261" s="1"/>
      <c r="F261" s="1"/>
      <c r="G261" s="1"/>
      <c r="H261" s="1"/>
    </row>
    <row r="262" spans="4:8">
      <c r="D262" s="8"/>
      <c r="E262" s="1"/>
      <c r="F262" s="1"/>
      <c r="G262" s="1"/>
      <c r="H262" s="1"/>
    </row>
    <row r="263" spans="4:8">
      <c r="D263" s="8"/>
      <c r="E263" s="1"/>
      <c r="F263" s="1"/>
      <c r="G263" s="1"/>
      <c r="H263" s="1"/>
    </row>
    <row r="264" spans="4:8">
      <c r="D264" s="8"/>
      <c r="E264" s="1"/>
      <c r="F264" s="1"/>
      <c r="G264" s="1"/>
      <c r="H264" s="1"/>
    </row>
    <row r="265" spans="4:8">
      <c r="D265" s="8"/>
      <c r="E265" s="1"/>
      <c r="H265" s="1"/>
    </row>
    <row r="266" spans="4:8">
      <c r="D266" s="8"/>
      <c r="E266" s="1"/>
      <c r="H266" s="1"/>
    </row>
    <row r="267" spans="4:8">
      <c r="D267" s="8"/>
      <c r="E267" s="1"/>
      <c r="F267" s="1"/>
      <c r="G267" s="1"/>
      <c r="H267" s="1"/>
    </row>
    <row r="268" spans="4:8">
      <c r="D268" s="8"/>
      <c r="E268" s="1"/>
      <c r="F268" s="1"/>
      <c r="G268" s="1"/>
      <c r="H268" s="1"/>
    </row>
    <row r="269" spans="4:8">
      <c r="D269" s="8"/>
      <c r="E269" s="1"/>
      <c r="F269" s="1"/>
      <c r="G269" s="1"/>
      <c r="H269" s="1"/>
    </row>
    <row r="270" spans="4:8">
      <c r="D270" s="8"/>
      <c r="E270" s="1"/>
      <c r="H270" s="1"/>
    </row>
    <row r="271" spans="4:8">
      <c r="D271" s="8"/>
      <c r="E271" s="1"/>
      <c r="H271" s="1"/>
    </row>
    <row r="272" spans="4:8">
      <c r="D272" s="8"/>
      <c r="E272" s="1"/>
      <c r="F272" s="1"/>
      <c r="G272" s="1"/>
      <c r="H272" s="1"/>
    </row>
    <row r="273" spans="4:8">
      <c r="D273" s="8"/>
      <c r="E273" s="1"/>
      <c r="F273" s="1"/>
      <c r="G273" s="1"/>
      <c r="H273" s="1"/>
    </row>
    <row r="274" spans="4:8">
      <c r="D274" s="8"/>
      <c r="E274" s="1"/>
      <c r="F274" s="1"/>
      <c r="G274" s="1"/>
      <c r="H274" s="1"/>
    </row>
    <row r="275" spans="4:8">
      <c r="D275" s="8"/>
      <c r="E275" s="1"/>
      <c r="F275" s="1"/>
      <c r="G275" s="1"/>
      <c r="H275" s="1"/>
    </row>
    <row r="276" spans="4:8">
      <c r="D276" s="8"/>
      <c r="E276" s="1"/>
      <c r="F276" s="1"/>
      <c r="G276" s="1"/>
      <c r="H276" s="1"/>
    </row>
    <row r="277" spans="4:8">
      <c r="D277" s="8"/>
      <c r="E277" s="1"/>
      <c r="F277" s="1"/>
      <c r="G277" s="1"/>
      <c r="H277" s="1"/>
    </row>
    <row r="278" spans="4:8">
      <c r="D278" s="8"/>
      <c r="E278" s="1"/>
      <c r="F278" s="1"/>
      <c r="G278" s="1"/>
      <c r="H278" s="1"/>
    </row>
    <row r="279" spans="4:8">
      <c r="D279" s="8"/>
      <c r="E279" s="1"/>
      <c r="F279" s="1"/>
      <c r="G279" s="1"/>
      <c r="H279" s="1"/>
    </row>
    <row r="280" spans="4:8">
      <c r="D280" s="8"/>
      <c r="E280" s="1"/>
      <c r="F280" s="1"/>
      <c r="G280" s="1"/>
      <c r="H280" s="1"/>
    </row>
    <row r="281" spans="4:8">
      <c r="D281" s="8"/>
      <c r="E281" s="1"/>
      <c r="F281" s="1"/>
      <c r="G281" s="1"/>
      <c r="H281" s="1"/>
    </row>
    <row r="282" spans="4:8">
      <c r="D282" s="8"/>
      <c r="E282" s="1"/>
      <c r="F282" s="1"/>
      <c r="G282" s="1"/>
      <c r="H282" s="1"/>
    </row>
    <row r="283" spans="4:8">
      <c r="D283" s="8"/>
      <c r="E283" s="1"/>
      <c r="F283" s="1"/>
      <c r="G283" s="1"/>
      <c r="H283" s="1"/>
    </row>
    <row r="284" spans="4:8">
      <c r="D284" s="8"/>
      <c r="E284" s="1"/>
      <c r="F284" s="1"/>
      <c r="G284" s="1"/>
      <c r="H284" s="1"/>
    </row>
    <row r="285" spans="4:8">
      <c r="D285" s="8"/>
      <c r="E285" s="1"/>
      <c r="F285" s="1"/>
      <c r="G285" s="1"/>
      <c r="H285" s="1"/>
    </row>
    <row r="286" spans="4:8">
      <c r="D286" s="8"/>
      <c r="E286" s="1"/>
      <c r="F286" s="1"/>
      <c r="G286" s="1"/>
      <c r="H286" s="1"/>
    </row>
    <row r="287" spans="4:8">
      <c r="D287" s="8"/>
      <c r="E287" s="1"/>
      <c r="F287" s="1"/>
      <c r="G287" s="1"/>
      <c r="H287" s="1"/>
    </row>
    <row r="288" spans="4:8">
      <c r="D288" s="8"/>
      <c r="E288" s="1"/>
      <c r="F288" s="1"/>
      <c r="G288" s="1"/>
      <c r="H288" s="1"/>
    </row>
    <row r="289" spans="4:8">
      <c r="D289" s="8"/>
      <c r="E289" s="1"/>
      <c r="F289" s="1"/>
      <c r="G289" s="1"/>
      <c r="H289" s="1"/>
    </row>
    <row r="290" spans="4:8">
      <c r="D290" s="8"/>
      <c r="E290" s="1"/>
      <c r="F290" s="1"/>
      <c r="G290" s="1"/>
      <c r="H290" s="1"/>
    </row>
    <row r="291" spans="4:8">
      <c r="D291" s="8"/>
      <c r="E291" s="1"/>
      <c r="F291" s="1"/>
      <c r="G291" s="1"/>
      <c r="H291" s="1"/>
    </row>
    <row r="292" spans="4:8">
      <c r="D292" s="8"/>
      <c r="E292" s="1"/>
      <c r="F292" s="1"/>
      <c r="G292" s="1"/>
      <c r="H292" s="1"/>
    </row>
    <row r="293" spans="4:8">
      <c r="D293" s="8"/>
      <c r="E293" s="1"/>
      <c r="F293" s="1"/>
      <c r="G293" s="1"/>
      <c r="H293" s="1"/>
    </row>
    <row r="294" spans="4:8">
      <c r="D294" s="8"/>
      <c r="E294" s="1"/>
      <c r="F294" s="1"/>
      <c r="G294" s="1"/>
      <c r="H294" s="1"/>
    </row>
    <row r="295" spans="4:8">
      <c r="D295" s="8"/>
      <c r="E295" s="1"/>
      <c r="F295" s="1"/>
      <c r="G295" s="1"/>
      <c r="H295" s="1"/>
    </row>
    <row r="296" spans="4:8">
      <c r="D296" s="8"/>
      <c r="E296" s="1"/>
      <c r="F296" s="1"/>
      <c r="G296" s="1"/>
      <c r="H296" s="1"/>
    </row>
    <row r="297" spans="4:8">
      <c r="D297" s="8"/>
      <c r="E297" s="1"/>
      <c r="F297" s="1"/>
      <c r="G297" s="1"/>
      <c r="H297" s="1"/>
    </row>
    <row r="298" spans="4:8">
      <c r="D298" s="8"/>
      <c r="E298" s="1"/>
      <c r="H298" s="1"/>
    </row>
    <row r="299" spans="4:8">
      <c r="D299" s="8"/>
      <c r="E299" s="1"/>
      <c r="H299" s="1"/>
    </row>
    <row r="300" spans="4:8">
      <c r="D300" s="8"/>
      <c r="E300" s="1"/>
      <c r="H300" s="1"/>
    </row>
    <row r="301" spans="4:8">
      <c r="D301" s="8"/>
      <c r="E301" s="1"/>
      <c r="F301" s="1"/>
      <c r="G301" s="1"/>
      <c r="H301" s="1"/>
    </row>
    <row r="302" spans="4:8">
      <c r="D302" s="8"/>
      <c r="E302" s="1"/>
      <c r="F302" s="1"/>
      <c r="G302" s="1"/>
      <c r="H302" s="1"/>
    </row>
    <row r="303" spans="4:8">
      <c r="D303" s="8"/>
      <c r="E303" s="1"/>
      <c r="F303" s="1"/>
      <c r="G303" s="1"/>
      <c r="H303" s="1"/>
    </row>
    <row r="304" spans="4:8">
      <c r="D304" s="8"/>
      <c r="E304" s="1"/>
      <c r="H304" s="1"/>
    </row>
    <row r="305" spans="1:8">
      <c r="D305" s="8"/>
      <c r="E305" s="1"/>
      <c r="F305" s="1"/>
      <c r="G305" s="1"/>
      <c r="H305" s="1"/>
    </row>
    <row r="306" spans="1:8">
      <c r="A306" s="2"/>
      <c r="D306" s="8"/>
      <c r="E306" s="1"/>
      <c r="F306" s="1"/>
      <c r="G306" s="1"/>
      <c r="H306" s="1"/>
    </row>
    <row r="307" spans="1:8">
      <c r="D307" s="8"/>
      <c r="E307" s="1"/>
      <c r="F307" s="1"/>
      <c r="G307" s="1"/>
      <c r="H307" s="1"/>
    </row>
    <row r="308" spans="1:8">
      <c r="D308" s="8"/>
      <c r="E308" s="1"/>
      <c r="F308" s="1"/>
      <c r="G308" s="1"/>
      <c r="H308" s="1"/>
    </row>
    <row r="309" spans="1:8">
      <c r="D309" s="8"/>
      <c r="E309" s="1"/>
      <c r="F309" s="1"/>
      <c r="G309" s="1"/>
      <c r="H309" s="1"/>
    </row>
    <row r="310" spans="1:8">
      <c r="D310" s="8"/>
      <c r="E310" s="1"/>
      <c r="F310" s="1"/>
      <c r="G310" s="1"/>
      <c r="H310" s="1"/>
    </row>
    <row r="311" spans="1:8">
      <c r="D311" s="8"/>
      <c r="E311" s="1"/>
      <c r="F311" s="1"/>
      <c r="G311" s="1"/>
      <c r="H311" s="1"/>
    </row>
    <row r="312" spans="1:8">
      <c r="D312" s="8"/>
      <c r="E312" s="1"/>
      <c r="F312" s="1"/>
      <c r="G312" s="1"/>
      <c r="H312" s="1"/>
    </row>
    <row r="313" spans="1:8">
      <c r="D313" s="8"/>
      <c r="E313" s="1"/>
      <c r="F313" s="1"/>
      <c r="G313" s="1"/>
      <c r="H313" s="1"/>
    </row>
    <row r="314" spans="1:8">
      <c r="A314" s="2"/>
      <c r="D314" s="8"/>
      <c r="E314" s="1"/>
      <c r="F314" s="1"/>
      <c r="G314" s="1"/>
      <c r="H314" s="1"/>
    </row>
    <row r="315" spans="1:8">
      <c r="D315" s="8"/>
      <c r="E315" s="1"/>
      <c r="F315" s="1"/>
      <c r="G315" s="1"/>
      <c r="H315" s="1"/>
    </row>
    <row r="316" spans="1:8">
      <c r="D316" s="8"/>
      <c r="E316" s="1"/>
      <c r="F316" s="1"/>
      <c r="G316" s="1"/>
      <c r="H316" s="1"/>
    </row>
    <row r="317" spans="1:8">
      <c r="D317" s="8"/>
      <c r="E317" s="1"/>
      <c r="F317" s="1"/>
      <c r="G317" s="1"/>
      <c r="H317" s="1"/>
    </row>
    <row r="318" spans="1:8">
      <c r="D318" s="8"/>
      <c r="E318" s="1"/>
      <c r="F318" s="1"/>
      <c r="G318" s="1"/>
      <c r="H318" s="1"/>
    </row>
    <row r="319" spans="1:8">
      <c r="D319" s="8"/>
      <c r="E319" s="1"/>
      <c r="F319" s="1"/>
      <c r="G319" s="1"/>
      <c r="H319" s="1"/>
    </row>
    <row r="320" spans="1:8">
      <c r="D320" s="8"/>
      <c r="E320" s="1"/>
      <c r="F320" s="1"/>
      <c r="G320" s="1"/>
      <c r="H320" s="1"/>
    </row>
    <row r="321" spans="4:8">
      <c r="D321" s="8"/>
      <c r="E321" s="1"/>
      <c r="F321" s="1"/>
      <c r="G321" s="1"/>
      <c r="H321" s="1"/>
    </row>
    <row r="322" spans="4:8">
      <c r="D322" s="8"/>
      <c r="E322" s="1"/>
      <c r="F322" s="1"/>
      <c r="G322" s="1"/>
      <c r="H322" s="1"/>
    </row>
    <row r="323" spans="4:8">
      <c r="D323" s="8"/>
      <c r="E323" s="1"/>
      <c r="F323" s="1"/>
      <c r="G323" s="1"/>
      <c r="H323" s="1"/>
    </row>
    <row r="324" spans="4:8">
      <c r="D324" s="8"/>
      <c r="E324" s="1"/>
      <c r="F324" s="1"/>
      <c r="G324" s="1"/>
      <c r="H324" s="1"/>
    </row>
    <row r="325" spans="4:8">
      <c r="D325" s="8"/>
      <c r="E325" s="1"/>
      <c r="H325" s="1"/>
    </row>
    <row r="326" spans="4:8">
      <c r="D326" s="8"/>
      <c r="E326" s="1"/>
      <c r="F326" s="1"/>
      <c r="G326" s="1"/>
      <c r="H326" s="1"/>
    </row>
    <row r="327" spans="4:8">
      <c r="D327" s="8"/>
      <c r="E327" s="1"/>
      <c r="F327" s="1"/>
      <c r="G327" s="1"/>
      <c r="H327" s="1"/>
    </row>
    <row r="328" spans="4:8">
      <c r="D328" s="8"/>
      <c r="E328" s="1"/>
      <c r="F328" s="1"/>
      <c r="G328" s="1"/>
      <c r="H328" s="1"/>
    </row>
    <row r="329" spans="4:8">
      <c r="D329" s="8"/>
      <c r="H329" s="1"/>
    </row>
    <row r="330" spans="4:8">
      <c r="D330" s="8"/>
      <c r="E330" s="1"/>
      <c r="F330" s="1"/>
      <c r="G330" s="1"/>
      <c r="H330" s="1"/>
    </row>
    <row r="331" spans="4:8">
      <c r="D331" s="8"/>
      <c r="E331" s="1"/>
      <c r="F331" s="1"/>
      <c r="G331" s="1"/>
      <c r="H331" s="1"/>
    </row>
    <row r="332" spans="4:8">
      <c r="D332" s="8"/>
      <c r="E332" s="1"/>
      <c r="F332" s="1"/>
      <c r="G332" s="1"/>
      <c r="H332" s="1"/>
    </row>
    <row r="333" spans="4:8">
      <c r="D333" s="8"/>
      <c r="E333" s="1"/>
      <c r="F333" s="1"/>
      <c r="G333" s="1"/>
      <c r="H333" s="1"/>
    </row>
    <row r="334" spans="4:8">
      <c r="D334" s="8"/>
      <c r="E334" s="1"/>
      <c r="F334" s="1"/>
      <c r="G334" s="1"/>
      <c r="H334" s="1"/>
    </row>
    <row r="335" spans="4:8">
      <c r="D335" s="8"/>
      <c r="E335" s="1"/>
      <c r="F335" s="1"/>
      <c r="G335" s="1"/>
      <c r="H335" s="1"/>
    </row>
    <row r="336" spans="4:8">
      <c r="D336" s="8"/>
      <c r="E336" s="1"/>
      <c r="F336" s="1"/>
      <c r="G336" s="1"/>
      <c r="H336" s="1"/>
    </row>
    <row r="337" spans="4:8">
      <c r="D337" s="8"/>
      <c r="E337" s="1"/>
      <c r="F337" s="1"/>
      <c r="G337" s="1"/>
      <c r="H337" s="1"/>
    </row>
    <row r="338" spans="4:8">
      <c r="D338" s="8"/>
      <c r="E338" s="1"/>
      <c r="F338" s="1"/>
      <c r="G338" s="1"/>
      <c r="H338" s="1"/>
    </row>
    <row r="339" spans="4:8">
      <c r="D339" s="8"/>
      <c r="E339" s="1"/>
      <c r="F339" s="1"/>
      <c r="G339" s="1"/>
      <c r="H339" s="1"/>
    </row>
    <row r="340" spans="4:8">
      <c r="D340" s="8"/>
      <c r="E340" s="1"/>
      <c r="F340" s="1"/>
      <c r="G340" s="1"/>
      <c r="H340" s="1"/>
    </row>
    <row r="341" spans="4:8">
      <c r="D341" s="8"/>
      <c r="E341" s="1"/>
      <c r="F341" s="1"/>
      <c r="G341" s="1"/>
      <c r="H341" s="1"/>
    </row>
    <row r="342" spans="4:8">
      <c r="D342" s="8"/>
      <c r="E342" s="1"/>
      <c r="F342" s="1"/>
      <c r="G342" s="1"/>
      <c r="H342" s="1"/>
    </row>
    <row r="343" spans="4:8">
      <c r="D343" s="8"/>
      <c r="E343" s="1"/>
      <c r="F343" s="1"/>
      <c r="G343" s="1"/>
      <c r="H343" s="1"/>
    </row>
    <row r="344" spans="4:8">
      <c r="D344" s="8"/>
      <c r="E344" s="1"/>
      <c r="F344" s="1"/>
      <c r="G344" s="1"/>
      <c r="H344" s="1"/>
    </row>
    <row r="345" spans="4:8">
      <c r="D345" s="8"/>
      <c r="E345" s="1"/>
      <c r="F345" s="1"/>
      <c r="G345" s="1"/>
      <c r="H345" s="1"/>
    </row>
    <row r="346" spans="4:8">
      <c r="D346" s="8"/>
      <c r="E346" s="1"/>
      <c r="F346" s="1"/>
      <c r="G346" s="1"/>
      <c r="H346" s="1"/>
    </row>
    <row r="347" spans="4:8">
      <c r="D347" s="8"/>
      <c r="E347" s="1"/>
      <c r="F347" s="1"/>
      <c r="G347" s="1"/>
      <c r="H347" s="1"/>
    </row>
    <row r="348" spans="4:8">
      <c r="D348" s="8"/>
      <c r="E348" s="1"/>
      <c r="F348" s="1"/>
      <c r="G348" s="1"/>
      <c r="H348" s="1"/>
    </row>
    <row r="349" spans="4:8">
      <c r="D349" s="8"/>
      <c r="E349" s="1"/>
      <c r="F349" s="1"/>
      <c r="G349" s="1"/>
      <c r="H349" s="1"/>
    </row>
    <row r="350" spans="4:8">
      <c r="D350" s="8"/>
      <c r="E350" s="1"/>
      <c r="F350" s="1"/>
      <c r="G350" s="1"/>
      <c r="H350" s="1"/>
    </row>
    <row r="351" spans="4:8">
      <c r="D351" s="8"/>
      <c r="E351" s="1"/>
      <c r="F351" s="1"/>
      <c r="G351" s="1"/>
      <c r="H351" s="1"/>
    </row>
    <row r="352" spans="4:8">
      <c r="D352" s="8"/>
      <c r="E352" s="1"/>
      <c r="F352" s="1"/>
      <c r="G352" s="1"/>
      <c r="H352" s="1"/>
    </row>
    <row r="353" spans="4:8">
      <c r="D353" s="8"/>
      <c r="E353" s="1"/>
      <c r="F353" s="1"/>
      <c r="G353" s="1"/>
      <c r="H353" s="1"/>
    </row>
    <row r="354" spans="4:8">
      <c r="D354" s="8"/>
      <c r="E354" s="1"/>
      <c r="F354" s="1"/>
      <c r="G354" s="1"/>
      <c r="H354" s="1"/>
    </row>
    <row r="355" spans="4:8">
      <c r="D355" s="8"/>
      <c r="E355" s="1"/>
      <c r="F355" s="1"/>
      <c r="G355" s="1"/>
      <c r="H355" s="1"/>
    </row>
    <row r="356" spans="4:8">
      <c r="D356" s="8"/>
      <c r="E356" s="1"/>
      <c r="F356" s="1"/>
      <c r="G356" s="1"/>
      <c r="H356" s="1"/>
    </row>
    <row r="357" spans="4:8">
      <c r="D357" s="8"/>
      <c r="E357" s="1"/>
      <c r="F357" s="1"/>
      <c r="G357" s="1"/>
      <c r="H357" s="1"/>
    </row>
    <row r="358" spans="4:8">
      <c r="D358" s="8"/>
      <c r="E358" s="1"/>
      <c r="F358" s="1"/>
      <c r="G358" s="1"/>
      <c r="H358" s="1"/>
    </row>
    <row r="359" spans="4:8">
      <c r="D359" s="8"/>
      <c r="E359" s="1"/>
      <c r="F359" s="1"/>
      <c r="G359" s="1"/>
      <c r="H359" s="1"/>
    </row>
    <row r="360" spans="4:8">
      <c r="D360" s="8"/>
      <c r="E360" s="1"/>
      <c r="F360" s="1"/>
      <c r="G360" s="1"/>
      <c r="H360" s="1"/>
    </row>
    <row r="361" spans="4:8">
      <c r="D361" s="8"/>
      <c r="E361" s="1"/>
      <c r="F361" s="1"/>
      <c r="G361" s="1"/>
      <c r="H361" s="1"/>
    </row>
    <row r="362" spans="4:8">
      <c r="D362" s="8"/>
      <c r="E362" s="1"/>
      <c r="F362" s="1"/>
      <c r="G362" s="1"/>
      <c r="H362" s="1"/>
    </row>
    <row r="363" spans="4:8">
      <c r="D363" s="8"/>
      <c r="E363" s="1"/>
      <c r="F363" s="1"/>
      <c r="G363" s="1"/>
      <c r="H363" s="1"/>
    </row>
    <row r="364" spans="4:8">
      <c r="D364" s="8"/>
      <c r="E364" s="1"/>
      <c r="F364" s="1"/>
      <c r="G364" s="1"/>
      <c r="H364" s="1"/>
    </row>
    <row r="365" spans="4:8">
      <c r="D365" s="8"/>
      <c r="E365" s="1"/>
      <c r="F365" s="1"/>
      <c r="G365" s="1"/>
      <c r="H365" s="1"/>
    </row>
    <row r="366" spans="4:8">
      <c r="D366" s="8"/>
      <c r="E366" s="1"/>
      <c r="F366" s="1"/>
      <c r="G366" s="1"/>
      <c r="H366" s="1"/>
    </row>
    <row r="367" spans="4:8">
      <c r="D367" s="8"/>
      <c r="E367" s="1"/>
      <c r="F367" s="1"/>
      <c r="G367" s="1"/>
      <c r="H367" s="1"/>
    </row>
    <row r="368" spans="4:8">
      <c r="D368" s="8"/>
      <c r="E368" s="1"/>
      <c r="F368" s="1"/>
      <c r="G368" s="1"/>
      <c r="H368" s="1"/>
    </row>
    <row r="369" spans="1:8">
      <c r="D369" s="8"/>
      <c r="E369" s="1"/>
      <c r="F369" s="1"/>
      <c r="G369" s="1"/>
      <c r="H369" s="1"/>
    </row>
    <row r="370" spans="1:8">
      <c r="D370" s="8"/>
      <c r="E370" s="1"/>
      <c r="F370" s="1"/>
      <c r="G370" s="1"/>
      <c r="H370" s="1"/>
    </row>
    <row r="371" spans="1:8">
      <c r="D371" s="8"/>
      <c r="E371" s="1"/>
      <c r="F371" s="1"/>
      <c r="G371" s="1"/>
      <c r="H371" s="1"/>
    </row>
    <row r="372" spans="1:8">
      <c r="D372" s="8"/>
      <c r="E372" s="1"/>
      <c r="F372" s="1"/>
      <c r="G372" s="1"/>
      <c r="H372" s="1"/>
    </row>
    <row r="373" spans="1:8">
      <c r="D373" s="8"/>
      <c r="E373" s="1"/>
      <c r="F373" s="1"/>
      <c r="H373" s="1"/>
    </row>
    <row r="374" spans="1:8">
      <c r="D374" s="8"/>
      <c r="E374" s="1"/>
      <c r="F374" s="1"/>
      <c r="H374" s="1"/>
    </row>
    <row r="375" spans="1:8">
      <c r="D375" s="8"/>
      <c r="E375" s="1"/>
      <c r="F375" s="1"/>
      <c r="G375" s="1"/>
      <c r="H375" s="1"/>
    </row>
    <row r="376" spans="1:8">
      <c r="D376" s="8"/>
      <c r="E376" s="1"/>
      <c r="F376" s="1"/>
      <c r="G376" s="1"/>
      <c r="H376" s="1"/>
    </row>
    <row r="377" spans="1:8">
      <c r="A377" s="2"/>
      <c r="D377" s="8"/>
      <c r="E377" s="1"/>
      <c r="F377" s="1"/>
      <c r="G377" s="1"/>
      <c r="H377" s="1"/>
    </row>
    <row r="378" spans="1:8">
      <c r="D378" s="8"/>
      <c r="E378" s="1"/>
      <c r="F378" s="1"/>
      <c r="G378" s="1"/>
      <c r="H378" s="1"/>
    </row>
    <row r="379" spans="1:8">
      <c r="D379" s="8"/>
      <c r="E379" s="1"/>
      <c r="F379" s="1"/>
      <c r="G379" s="1"/>
      <c r="H379" s="1"/>
    </row>
    <row r="380" spans="1:8">
      <c r="D380" s="8"/>
      <c r="E380" s="1"/>
      <c r="F380" s="1"/>
      <c r="G380" s="1"/>
      <c r="H380" s="1"/>
    </row>
    <row r="381" spans="1:8">
      <c r="D381" s="8"/>
      <c r="E381" s="1"/>
      <c r="F381" s="1"/>
      <c r="G381" s="1"/>
      <c r="H381" s="1"/>
    </row>
    <row r="382" spans="1:8">
      <c r="D382" s="8"/>
      <c r="E382" s="1"/>
      <c r="F382" s="1"/>
      <c r="G382" s="1"/>
      <c r="H382" s="1"/>
    </row>
    <row r="383" spans="1:8">
      <c r="D383" s="8"/>
      <c r="E383" s="1"/>
      <c r="F383" s="1"/>
      <c r="G383" s="1"/>
      <c r="H383" s="1"/>
    </row>
    <row r="384" spans="1:8">
      <c r="D384" s="8"/>
      <c r="E384" s="1"/>
      <c r="F384" s="1"/>
      <c r="G384" s="1"/>
      <c r="H384" s="1"/>
    </row>
    <row r="385" spans="2:8">
      <c r="D385" s="8"/>
      <c r="E385" s="1"/>
      <c r="F385" s="1"/>
      <c r="G385" s="1"/>
      <c r="H385" s="1"/>
    </row>
    <row r="386" spans="2:8">
      <c r="D386" s="8"/>
      <c r="E386" s="1"/>
      <c r="F386" s="1"/>
      <c r="G386" s="1"/>
      <c r="H386" s="1"/>
    </row>
    <row r="387" spans="2:8">
      <c r="D387" s="8"/>
      <c r="E387" s="1"/>
      <c r="F387" s="1"/>
      <c r="G387" s="1"/>
      <c r="H387" s="1"/>
    </row>
    <row r="388" spans="2:8">
      <c r="D388" s="8"/>
      <c r="E388" s="1"/>
      <c r="F388" s="1"/>
      <c r="G388" s="1"/>
      <c r="H388" s="1"/>
    </row>
    <row r="389" spans="2:8">
      <c r="D389" s="8"/>
      <c r="E389" s="1"/>
      <c r="F389" s="1"/>
      <c r="G389" s="1"/>
      <c r="H389" s="1"/>
    </row>
    <row r="390" spans="2:8">
      <c r="D390" s="8"/>
      <c r="E390" s="1"/>
      <c r="F390" s="1"/>
      <c r="G390" s="1"/>
      <c r="H390" s="1"/>
    </row>
    <row r="391" spans="2:8">
      <c r="D391" s="8"/>
      <c r="E391" s="1"/>
      <c r="F391" s="1"/>
      <c r="G391" s="1"/>
      <c r="H391" s="1"/>
    </row>
    <row r="392" spans="2:8">
      <c r="D392" s="8"/>
      <c r="E392" s="1"/>
      <c r="F392" s="1"/>
      <c r="G392" s="1"/>
      <c r="H392" s="1"/>
    </row>
    <row r="393" spans="2:8">
      <c r="D393" s="8"/>
      <c r="E393" s="1"/>
      <c r="H393" s="1"/>
    </row>
    <row r="394" spans="2:8">
      <c r="D394" s="8"/>
      <c r="E394" s="1"/>
      <c r="F394" s="1"/>
      <c r="G394" s="1"/>
      <c r="H394" s="1"/>
    </row>
    <row r="395" spans="2:8">
      <c r="D395" s="8"/>
      <c r="E395" s="1"/>
      <c r="H395" s="1"/>
    </row>
    <row r="396" spans="2:8">
      <c r="D396" s="8"/>
      <c r="E396" s="1"/>
      <c r="F396" s="1"/>
      <c r="G396" s="1"/>
      <c r="H396" s="1"/>
    </row>
    <row r="397" spans="2:8">
      <c r="D397" s="8"/>
      <c r="E397" s="1"/>
      <c r="F397" s="1"/>
      <c r="G397" s="1"/>
      <c r="H397" s="1"/>
    </row>
    <row r="398" spans="2:8">
      <c r="D398" s="8"/>
      <c r="E398" s="1"/>
      <c r="F398" s="1"/>
      <c r="G398" s="1"/>
      <c r="H398" s="1"/>
    </row>
    <row r="399" spans="2:8">
      <c r="D399" s="8"/>
      <c r="E399" s="1"/>
      <c r="F399" s="1"/>
      <c r="G399" s="1"/>
      <c r="H399" s="1"/>
    </row>
    <row r="400" spans="2:8">
      <c r="B400" s="2"/>
      <c r="D400" s="8"/>
      <c r="E400" s="1"/>
      <c r="F400" s="1"/>
      <c r="G400" s="1"/>
      <c r="H400" s="1"/>
    </row>
    <row r="401" spans="4:8">
      <c r="D401" s="8"/>
      <c r="E401" s="1"/>
      <c r="F401" s="1"/>
      <c r="G401" s="1"/>
      <c r="H401" s="1"/>
    </row>
    <row r="402" spans="4:8">
      <c r="D402" s="8"/>
      <c r="E402" s="1"/>
      <c r="F402" s="1"/>
      <c r="G402" s="1"/>
      <c r="H402" s="1"/>
    </row>
    <row r="403" spans="4:8">
      <c r="D403" s="8"/>
      <c r="E403" s="1"/>
      <c r="F403" s="1"/>
      <c r="G403" s="1"/>
      <c r="H403" s="1"/>
    </row>
    <row r="404" spans="4:8">
      <c r="D404" s="8"/>
      <c r="E404" s="1"/>
      <c r="F404" s="1"/>
      <c r="G404" s="1"/>
      <c r="H404" s="1"/>
    </row>
    <row r="405" spans="4:8">
      <c r="D405" s="8"/>
      <c r="E405" s="1"/>
      <c r="H405" s="1"/>
    </row>
    <row r="406" spans="4:8">
      <c r="D406" s="8"/>
      <c r="E406" s="1"/>
      <c r="F406" s="1"/>
      <c r="G406" s="1"/>
      <c r="H406" s="1"/>
    </row>
    <row r="407" spans="4:8">
      <c r="D407" s="8"/>
      <c r="E407" s="1"/>
      <c r="F407" s="1"/>
      <c r="G407" s="1"/>
      <c r="H407" s="1"/>
    </row>
    <row r="408" spans="4:8">
      <c r="D408" s="8"/>
      <c r="E408" s="1"/>
      <c r="F408" s="1"/>
      <c r="G408" s="1"/>
      <c r="H408" s="1"/>
    </row>
    <row r="409" spans="4:8">
      <c r="D409" s="8"/>
      <c r="E409" s="1"/>
      <c r="F409" s="1"/>
      <c r="G409" s="1"/>
      <c r="H409" s="1"/>
    </row>
    <row r="410" spans="4:8">
      <c r="D410" s="8"/>
      <c r="E410" s="1"/>
      <c r="F410" s="1"/>
      <c r="G410" s="1"/>
      <c r="H410" s="1"/>
    </row>
    <row r="411" spans="4:8">
      <c r="D411" s="8"/>
      <c r="E411" s="1"/>
      <c r="F411" s="1"/>
      <c r="G411" s="1"/>
      <c r="H411" s="1"/>
    </row>
    <row r="412" spans="4:8">
      <c r="D412" s="8"/>
      <c r="E412" s="1"/>
      <c r="F412" s="1"/>
      <c r="G412" s="1"/>
      <c r="H412" s="1"/>
    </row>
    <row r="413" spans="4:8">
      <c r="D413" s="8"/>
      <c r="E413" s="1"/>
      <c r="F413" s="1"/>
      <c r="G413" s="1"/>
      <c r="H413" s="1"/>
    </row>
    <row r="414" spans="4:8">
      <c r="D414" s="8"/>
      <c r="E414" s="1"/>
      <c r="F414" s="1"/>
      <c r="G414" s="1"/>
      <c r="H414" s="1"/>
    </row>
    <row r="415" spans="4:8">
      <c r="D415" s="8"/>
      <c r="E415" s="1"/>
      <c r="F415" s="1"/>
      <c r="G415" s="1"/>
      <c r="H415" s="1"/>
    </row>
    <row r="416" spans="4:8">
      <c r="D416" s="8"/>
      <c r="H416" s="1"/>
    </row>
    <row r="417" spans="1:8">
      <c r="D417" s="8"/>
      <c r="E417" s="1"/>
      <c r="F417" s="1"/>
      <c r="G417" s="1"/>
      <c r="H417" s="1"/>
    </row>
    <row r="418" spans="1:8">
      <c r="D418" s="8"/>
      <c r="E418" s="1"/>
      <c r="F418" s="1"/>
      <c r="G418" s="1"/>
      <c r="H418" s="1"/>
    </row>
    <row r="419" spans="1:8">
      <c r="D419" s="8"/>
      <c r="E419" s="1"/>
      <c r="F419" s="1"/>
      <c r="G419" s="1"/>
      <c r="H419" s="1"/>
    </row>
    <row r="420" spans="1:8">
      <c r="D420" s="8"/>
      <c r="E420" s="1"/>
      <c r="F420" s="1"/>
      <c r="G420" s="1"/>
      <c r="H420" s="1"/>
    </row>
    <row r="421" spans="1:8">
      <c r="D421" s="8"/>
      <c r="E421" s="1"/>
      <c r="F421" s="1"/>
      <c r="H421" s="1"/>
    </row>
    <row r="422" spans="1:8">
      <c r="D422" s="8"/>
      <c r="E422" s="1"/>
      <c r="F422" s="1"/>
      <c r="G422" s="1"/>
      <c r="H422" s="1"/>
    </row>
    <row r="423" spans="1:8">
      <c r="D423" s="8"/>
      <c r="E423" s="1"/>
      <c r="F423" s="1"/>
      <c r="G423" s="1"/>
      <c r="H423" s="1"/>
    </row>
    <row r="424" spans="1:8">
      <c r="A424" s="2"/>
      <c r="D424" s="8"/>
      <c r="E424" s="1"/>
      <c r="F424" s="1"/>
      <c r="G424" s="1"/>
      <c r="H424" s="1"/>
    </row>
    <row r="425" spans="1:8">
      <c r="D425" s="8"/>
      <c r="E425" s="1"/>
      <c r="F425" s="1"/>
      <c r="G425" s="1"/>
      <c r="H425" s="1"/>
    </row>
    <row r="426" spans="1:8">
      <c r="D426" s="8"/>
      <c r="E426" s="1"/>
      <c r="F426" s="1"/>
      <c r="G426" s="1"/>
      <c r="H426" s="1"/>
    </row>
    <row r="427" spans="1:8">
      <c r="D427" s="8"/>
      <c r="E427" s="1"/>
      <c r="F427" s="1"/>
      <c r="H427" s="1"/>
    </row>
    <row r="428" spans="1:8">
      <c r="D428" s="8"/>
      <c r="E428" s="1"/>
      <c r="F428" s="1"/>
      <c r="G428" s="1"/>
      <c r="H428" s="1"/>
    </row>
    <row r="429" spans="1:8">
      <c r="D429" s="8"/>
      <c r="E429" s="1"/>
      <c r="F429" s="1"/>
      <c r="G429" s="1"/>
      <c r="H429" s="1"/>
    </row>
    <row r="430" spans="1:8">
      <c r="D430" s="8"/>
      <c r="E430" s="1"/>
      <c r="F430" s="1"/>
      <c r="G430" s="1"/>
      <c r="H430" s="1"/>
    </row>
    <row r="431" spans="1:8">
      <c r="D431" s="8"/>
      <c r="E431" s="1"/>
      <c r="F431" s="1"/>
      <c r="G431" s="1"/>
      <c r="H431" s="1"/>
    </row>
    <row r="432" spans="1:8">
      <c r="D432" s="8"/>
      <c r="E432" s="1"/>
      <c r="F432" s="1"/>
      <c r="G432" s="1"/>
      <c r="H432" s="1"/>
    </row>
    <row r="433" spans="4:8">
      <c r="D433" s="8"/>
      <c r="E433" s="1"/>
      <c r="F433" s="1"/>
      <c r="G433" s="1"/>
      <c r="H433" s="1"/>
    </row>
    <row r="434" spans="4:8">
      <c r="D434" s="8"/>
      <c r="E434" s="1"/>
      <c r="F434" s="1"/>
      <c r="G434" s="1"/>
      <c r="H434" s="1"/>
    </row>
    <row r="435" spans="4:8">
      <c r="D435" s="8"/>
      <c r="E435" s="1"/>
      <c r="F435" s="1"/>
      <c r="G435" s="1"/>
      <c r="H435" s="1"/>
    </row>
    <row r="436" spans="4:8">
      <c r="D436" s="8"/>
      <c r="E436" s="1"/>
      <c r="F436" s="1"/>
      <c r="G436" s="1"/>
      <c r="H436" s="1"/>
    </row>
    <row r="437" spans="4:8">
      <c r="D437" s="8"/>
      <c r="E437" s="1"/>
      <c r="F437" s="1"/>
      <c r="G437" s="1"/>
      <c r="H437" s="1"/>
    </row>
    <row r="438" spans="4:8">
      <c r="D438" s="8"/>
      <c r="E438" s="1"/>
      <c r="F438" s="1"/>
      <c r="G438" s="1"/>
      <c r="H438" s="1"/>
    </row>
    <row r="439" spans="4:8">
      <c r="D439" s="8"/>
      <c r="E439" s="1"/>
      <c r="F439" s="1"/>
      <c r="H439" s="1"/>
    </row>
    <row r="440" spans="4:8">
      <c r="D440" s="8"/>
      <c r="E440" s="1"/>
      <c r="F440" s="1"/>
      <c r="G440" s="1"/>
      <c r="H440" s="1"/>
    </row>
    <row r="441" spans="4:8">
      <c r="D441" s="8"/>
      <c r="E441" s="1"/>
      <c r="F441" s="1"/>
      <c r="G441" s="1"/>
      <c r="H441" s="1"/>
    </row>
    <row r="442" spans="4:8">
      <c r="D442" s="8"/>
      <c r="E442" s="1"/>
      <c r="F442" s="1"/>
      <c r="G442" s="1"/>
      <c r="H442" s="1"/>
    </row>
    <row r="443" spans="4:8">
      <c r="D443" s="8"/>
      <c r="E443" s="1"/>
      <c r="F443" s="1"/>
      <c r="G443" s="1"/>
      <c r="H443" s="1"/>
    </row>
    <row r="444" spans="4:8">
      <c r="D444" s="8"/>
      <c r="E444" s="1"/>
      <c r="F444" s="1"/>
      <c r="G444" s="1"/>
      <c r="H444" s="1"/>
    </row>
    <row r="445" spans="4:8">
      <c r="D445" s="8"/>
      <c r="E445" s="1"/>
      <c r="F445" s="1"/>
      <c r="G445" s="1"/>
      <c r="H445" s="1"/>
    </row>
    <row r="446" spans="4:8">
      <c r="D446" s="8"/>
      <c r="E446" s="1"/>
      <c r="F446" s="1"/>
      <c r="G446" s="1"/>
      <c r="H446" s="1"/>
    </row>
    <row r="447" spans="4:8">
      <c r="D447" s="8"/>
      <c r="E447" s="1"/>
      <c r="F447" s="1"/>
      <c r="G447" s="1"/>
      <c r="H447" s="1"/>
    </row>
    <row r="448" spans="4:8">
      <c r="D448" s="8"/>
      <c r="E448" s="1"/>
      <c r="F448" s="1"/>
      <c r="G448" s="1"/>
      <c r="H448" s="1"/>
    </row>
    <row r="449" spans="2:8">
      <c r="D449" s="8"/>
      <c r="E449" s="1"/>
      <c r="F449" s="1"/>
      <c r="G449" s="1"/>
      <c r="H449" s="1"/>
    </row>
    <row r="450" spans="2:8">
      <c r="D450" s="8"/>
      <c r="E450" s="1"/>
      <c r="F450" s="1"/>
      <c r="G450" s="1"/>
      <c r="H450" s="1"/>
    </row>
    <row r="451" spans="2:8">
      <c r="D451" s="8"/>
      <c r="E451" s="1"/>
      <c r="F451" s="1"/>
      <c r="G451" s="1"/>
      <c r="H451" s="1"/>
    </row>
    <row r="452" spans="2:8">
      <c r="D452" s="8"/>
      <c r="E452" s="1"/>
      <c r="F452" s="1"/>
      <c r="G452" s="1"/>
      <c r="H452" s="1"/>
    </row>
    <row r="453" spans="2:8">
      <c r="D453" s="8"/>
      <c r="E453" s="1"/>
      <c r="F453" s="1"/>
      <c r="G453" s="1"/>
      <c r="H453" s="1"/>
    </row>
    <row r="454" spans="2:8">
      <c r="B454" s="2"/>
      <c r="D454" s="8"/>
      <c r="E454" s="1"/>
      <c r="F454" s="1"/>
      <c r="G454" s="1"/>
      <c r="H454" s="1"/>
    </row>
    <row r="455" spans="2:8">
      <c r="D455" s="8"/>
      <c r="E455" s="1"/>
      <c r="F455" s="1"/>
      <c r="G455" s="1"/>
      <c r="H455" s="1"/>
    </row>
    <row r="456" spans="2:8">
      <c r="D456" s="8"/>
      <c r="E456" s="1"/>
      <c r="F456" s="1"/>
      <c r="G456" s="1"/>
      <c r="H456" s="1"/>
    </row>
    <row r="457" spans="2:8">
      <c r="D457" s="8"/>
      <c r="E457" s="1"/>
      <c r="F457" s="1"/>
      <c r="G457" s="1"/>
      <c r="H457" s="1"/>
    </row>
    <row r="458" spans="2:8">
      <c r="D458" s="8"/>
      <c r="E458" s="1"/>
      <c r="F458" s="1"/>
      <c r="G458" s="1"/>
      <c r="H458" s="1"/>
    </row>
    <row r="459" spans="2:8">
      <c r="D459" s="8"/>
      <c r="E459" s="1"/>
      <c r="F459" s="1"/>
      <c r="G459" s="1"/>
      <c r="H459" s="1"/>
    </row>
    <row r="460" spans="2:8">
      <c r="D460" s="8"/>
      <c r="E460" s="1"/>
      <c r="F460" s="1"/>
      <c r="G460" s="1"/>
      <c r="H460" s="1"/>
    </row>
    <row r="461" spans="2:8">
      <c r="D461" s="8"/>
      <c r="E461" s="1"/>
      <c r="F461" s="1"/>
      <c r="G461" s="1"/>
      <c r="H461" s="1"/>
    </row>
    <row r="462" spans="2:8">
      <c r="D462" s="8"/>
      <c r="E462" s="1"/>
      <c r="F462" s="1"/>
      <c r="G462" s="1"/>
      <c r="H462" s="1"/>
    </row>
    <row r="463" spans="2:8">
      <c r="D463" s="8"/>
      <c r="E463" s="1"/>
      <c r="F463" s="1"/>
      <c r="G463" s="1"/>
      <c r="H463" s="1"/>
    </row>
    <row r="464" spans="2:8">
      <c r="D464" s="8"/>
      <c r="E464" s="1"/>
      <c r="F464" s="1"/>
      <c r="G464" s="1"/>
      <c r="H464" s="1"/>
    </row>
    <row r="465" spans="4:8">
      <c r="D465" s="8"/>
      <c r="E465" s="1"/>
      <c r="H465" s="1"/>
    </row>
    <row r="466" spans="4:8">
      <c r="D466" s="8"/>
      <c r="E466" s="1"/>
      <c r="F466" s="1"/>
      <c r="G466" s="1"/>
      <c r="H466" s="1"/>
    </row>
    <row r="467" spans="4:8">
      <c r="D467" s="8"/>
      <c r="E467" s="1"/>
      <c r="F467" s="1"/>
      <c r="G467" s="1"/>
      <c r="H467" s="1"/>
    </row>
    <row r="468" spans="4:8">
      <c r="D468" s="8"/>
      <c r="E468" s="1"/>
      <c r="F468" s="1"/>
      <c r="G468" s="1"/>
      <c r="H468" s="1"/>
    </row>
    <row r="469" spans="4:8">
      <c r="D469" s="8"/>
      <c r="E469" s="1"/>
      <c r="F469" s="1"/>
      <c r="G469" s="1"/>
      <c r="H469" s="1"/>
    </row>
    <row r="470" spans="4:8">
      <c r="D470" s="8"/>
      <c r="E470" s="1"/>
      <c r="F470" s="1"/>
      <c r="G470" s="1"/>
      <c r="H470" s="1"/>
    </row>
    <row r="471" spans="4:8">
      <c r="D471" s="8"/>
      <c r="E471" s="1"/>
      <c r="F471" s="1"/>
      <c r="G471" s="1"/>
      <c r="H471" s="1"/>
    </row>
    <row r="472" spans="4:8">
      <c r="D472" s="8"/>
      <c r="E472" s="1"/>
      <c r="F472" s="1"/>
      <c r="G472" s="1"/>
      <c r="H472" s="1"/>
    </row>
    <row r="473" spans="4:8">
      <c r="D473" s="8"/>
      <c r="E473" s="1"/>
      <c r="F473" s="1"/>
      <c r="G473" s="1"/>
      <c r="H473" s="1"/>
    </row>
    <row r="474" spans="4:8">
      <c r="D474" s="8"/>
      <c r="E474" s="1"/>
      <c r="F474" s="1"/>
      <c r="G474" s="1"/>
      <c r="H474" s="1"/>
    </row>
    <row r="475" spans="4:8">
      <c r="D475" s="8"/>
      <c r="E475" s="1"/>
      <c r="F475" s="1"/>
      <c r="G475" s="1"/>
      <c r="H475" s="1"/>
    </row>
    <row r="476" spans="4:8">
      <c r="D476" s="8"/>
      <c r="E476" s="1"/>
      <c r="F476" s="1"/>
      <c r="G476" s="1"/>
      <c r="H476" s="1"/>
    </row>
    <row r="477" spans="4:8">
      <c r="D477" s="8"/>
      <c r="E477" s="1"/>
      <c r="F477" s="1"/>
      <c r="G477" s="1"/>
      <c r="H477" s="1"/>
    </row>
    <row r="478" spans="4:8">
      <c r="D478" s="8"/>
      <c r="E478" s="1"/>
      <c r="F478" s="1"/>
      <c r="G478" s="1"/>
      <c r="H478" s="1"/>
    </row>
    <row r="479" spans="4:8">
      <c r="D479" s="8"/>
      <c r="E479" s="1"/>
      <c r="F479" s="1"/>
      <c r="G479" s="1"/>
      <c r="H479" s="1"/>
    </row>
    <row r="480" spans="4:8">
      <c r="D480" s="8"/>
      <c r="E480" s="1"/>
      <c r="F480" s="1"/>
      <c r="G480" s="1"/>
      <c r="H480" s="1"/>
    </row>
    <row r="481" spans="4:8">
      <c r="D481" s="8"/>
      <c r="E481" s="1"/>
      <c r="F481" s="1"/>
      <c r="G481" s="1"/>
      <c r="H481" s="1"/>
    </row>
    <row r="482" spans="4:8">
      <c r="D482" s="8"/>
      <c r="E482" s="1"/>
      <c r="F482" s="1"/>
      <c r="G482" s="1"/>
      <c r="H482" s="1"/>
    </row>
    <row r="483" spans="4:8">
      <c r="D483" s="8"/>
      <c r="E483" s="1"/>
      <c r="F483" s="1"/>
      <c r="G483" s="1"/>
      <c r="H483" s="1"/>
    </row>
    <row r="484" spans="4:8">
      <c r="D484" s="8"/>
      <c r="E484" s="1"/>
      <c r="F484" s="1"/>
      <c r="G484" s="1"/>
      <c r="H484" s="1"/>
    </row>
    <row r="485" spans="4:8">
      <c r="D485" s="8"/>
      <c r="E485" s="1"/>
      <c r="F485" s="1"/>
      <c r="G485" s="1"/>
      <c r="H485" s="1"/>
    </row>
    <row r="486" spans="4:8">
      <c r="D486" s="8"/>
      <c r="E486" s="1"/>
      <c r="F486" s="1"/>
      <c r="G486" s="1"/>
      <c r="H486" s="1"/>
    </row>
    <row r="487" spans="4:8">
      <c r="D487" s="8"/>
      <c r="E487" s="1"/>
      <c r="F487" s="1"/>
      <c r="G487" s="1"/>
      <c r="H487" s="1"/>
    </row>
    <row r="488" spans="4:8">
      <c r="D488" s="8"/>
      <c r="E488" s="1"/>
      <c r="F488" s="1"/>
      <c r="G488" s="1"/>
      <c r="H488" s="1"/>
    </row>
    <row r="489" spans="4:8">
      <c r="D489" s="8"/>
      <c r="E489" s="1"/>
      <c r="F489" s="1"/>
      <c r="G489" s="1"/>
      <c r="H489" s="1"/>
    </row>
    <row r="490" spans="4:8">
      <c r="D490" s="8"/>
      <c r="E490" s="1"/>
      <c r="F490" s="1"/>
      <c r="G490" s="1"/>
      <c r="H490" s="1"/>
    </row>
    <row r="491" spans="4:8">
      <c r="D491" s="8"/>
      <c r="E491" s="1"/>
      <c r="F491" s="1"/>
      <c r="G491" s="1"/>
      <c r="H491" s="1"/>
    </row>
    <row r="492" spans="4:8">
      <c r="D492" s="8"/>
      <c r="E492" s="1"/>
      <c r="F492" s="1"/>
      <c r="G492" s="1"/>
      <c r="H492" s="1"/>
    </row>
    <row r="493" spans="4:8">
      <c r="D493" s="8"/>
      <c r="E493" s="1"/>
      <c r="F493" s="1"/>
      <c r="G493" s="1"/>
      <c r="H493" s="1"/>
    </row>
    <row r="494" spans="4:8">
      <c r="D494" s="8"/>
      <c r="E494" s="1"/>
      <c r="F494" s="1"/>
      <c r="G494" s="1"/>
      <c r="H494" s="1"/>
    </row>
    <row r="495" spans="4:8">
      <c r="D495" s="8"/>
      <c r="E495" s="1"/>
      <c r="F495" s="1"/>
      <c r="G495" s="1"/>
      <c r="H495" s="1"/>
    </row>
    <row r="496" spans="4:8">
      <c r="D496" s="8"/>
      <c r="E496" s="1"/>
      <c r="F496" s="1"/>
      <c r="G496" s="1"/>
      <c r="H496" s="1"/>
    </row>
    <row r="497" spans="4:8">
      <c r="D497" s="8"/>
      <c r="E497" s="1"/>
      <c r="F497" s="1"/>
      <c r="G497" s="1"/>
      <c r="H497" s="1"/>
    </row>
    <row r="498" spans="4:8">
      <c r="D498" s="8"/>
      <c r="E498" s="1"/>
      <c r="F498" s="1"/>
      <c r="G498" s="1"/>
      <c r="H498" s="1"/>
    </row>
    <row r="499" spans="4:8">
      <c r="D499" s="8"/>
      <c r="E499" s="1"/>
      <c r="F499" s="1"/>
      <c r="G499" s="1"/>
      <c r="H499" s="1"/>
    </row>
    <row r="500" spans="4:8">
      <c r="D500" s="8"/>
      <c r="E500" s="1"/>
      <c r="F500" s="1"/>
      <c r="G500" s="1"/>
      <c r="H500" s="1"/>
    </row>
    <row r="501" spans="4:8">
      <c r="D501" s="8"/>
      <c r="E501" s="1"/>
      <c r="F501" s="1"/>
      <c r="G501" s="1"/>
      <c r="H501" s="1"/>
    </row>
    <row r="502" spans="4:8">
      <c r="D502" s="8"/>
      <c r="E502" s="1"/>
      <c r="F502" s="1"/>
      <c r="G502" s="1"/>
      <c r="H502" s="1"/>
    </row>
    <row r="503" spans="4:8">
      <c r="D503" s="8"/>
      <c r="E503" s="1"/>
      <c r="F503" s="1"/>
      <c r="G503" s="1"/>
      <c r="H503" s="1"/>
    </row>
    <row r="504" spans="4:8">
      <c r="D504" s="8"/>
      <c r="E504" s="1"/>
      <c r="F504" s="1"/>
      <c r="G504" s="1"/>
      <c r="H504" s="1"/>
    </row>
    <row r="505" spans="4:8">
      <c r="D505" s="8"/>
      <c r="E505" s="1"/>
      <c r="F505" s="1"/>
      <c r="G505" s="1"/>
      <c r="H505" s="1"/>
    </row>
    <row r="506" spans="4:8">
      <c r="D506" s="8"/>
      <c r="E506" s="1"/>
      <c r="F506" s="1"/>
      <c r="G506" s="1"/>
      <c r="H506" s="1"/>
    </row>
    <row r="507" spans="4:8">
      <c r="D507" s="8"/>
      <c r="E507" s="1"/>
      <c r="F507" s="1"/>
      <c r="G507" s="1"/>
      <c r="H507" s="1"/>
    </row>
    <row r="508" spans="4:8">
      <c r="D508" s="8"/>
      <c r="E508" s="1"/>
      <c r="F508" s="1"/>
      <c r="G508" s="1"/>
      <c r="H508" s="1"/>
    </row>
    <row r="509" spans="4:8">
      <c r="D509" s="8"/>
      <c r="E509" s="1"/>
      <c r="F509" s="1"/>
      <c r="G509" s="1"/>
      <c r="H509" s="1"/>
    </row>
    <row r="510" spans="4:8">
      <c r="D510" s="8"/>
      <c r="E510" s="1"/>
      <c r="F510" s="1"/>
      <c r="G510" s="1"/>
      <c r="H510" s="1"/>
    </row>
    <row r="511" spans="4:8">
      <c r="D511" s="8"/>
      <c r="E511" s="1"/>
      <c r="F511" s="1"/>
      <c r="G511" s="1"/>
      <c r="H511" s="1"/>
    </row>
    <row r="512" spans="4:8">
      <c r="D512" s="8"/>
      <c r="E512" s="1"/>
      <c r="H512" s="1"/>
    </row>
    <row r="513" spans="1:8">
      <c r="D513" s="8"/>
      <c r="E513" s="1"/>
      <c r="F513" s="1"/>
      <c r="G513" s="1"/>
      <c r="H513" s="1"/>
    </row>
    <row r="514" spans="1:8">
      <c r="D514" s="8"/>
      <c r="E514" s="1"/>
      <c r="F514" s="1"/>
      <c r="G514" s="1"/>
      <c r="H514" s="1"/>
    </row>
    <row r="515" spans="1:8">
      <c r="D515" s="8"/>
      <c r="E515" s="1"/>
      <c r="F515" s="1"/>
      <c r="G515" s="1"/>
      <c r="H515" s="1"/>
    </row>
    <row r="516" spans="1:8">
      <c r="A516" s="2"/>
      <c r="D516" s="8"/>
      <c r="E516" s="1"/>
      <c r="F516" s="1"/>
      <c r="G516" s="1"/>
      <c r="H516" s="1"/>
    </row>
    <row r="517" spans="1:8">
      <c r="D517" s="8"/>
      <c r="E517" s="1"/>
      <c r="F517" s="1"/>
      <c r="G517" s="1"/>
      <c r="H517" s="1"/>
    </row>
    <row r="518" spans="1:8">
      <c r="D518" s="8"/>
      <c r="E518" s="1"/>
      <c r="F518" s="1"/>
      <c r="G518" s="1"/>
      <c r="H518" s="1"/>
    </row>
    <row r="519" spans="1:8">
      <c r="D519" s="8"/>
      <c r="E519" s="1"/>
      <c r="H519" s="1"/>
    </row>
    <row r="520" spans="1:8">
      <c r="D520" s="8"/>
      <c r="E520" s="1"/>
      <c r="F520" s="1"/>
      <c r="G520" s="1"/>
      <c r="H520" s="1"/>
    </row>
    <row r="521" spans="1:8">
      <c r="D521" s="8"/>
      <c r="E521" s="1"/>
      <c r="F521" s="1"/>
      <c r="G521" s="1"/>
      <c r="H521" s="1"/>
    </row>
    <row r="522" spans="1:8">
      <c r="D522" s="8"/>
      <c r="E522" s="1"/>
      <c r="F522" s="1"/>
      <c r="G522" s="1"/>
      <c r="H522" s="1"/>
    </row>
    <row r="523" spans="1:8">
      <c r="D523" s="8"/>
      <c r="E523" s="1"/>
      <c r="F523" s="1"/>
      <c r="G523" s="1"/>
      <c r="H523" s="1"/>
    </row>
    <row r="524" spans="1:8">
      <c r="D524" s="8"/>
      <c r="E524" s="1"/>
      <c r="F524" s="1"/>
      <c r="G524" s="1"/>
      <c r="H524" s="1"/>
    </row>
    <row r="525" spans="1:8">
      <c r="D525" s="8"/>
      <c r="E525" s="1"/>
      <c r="F525" s="1"/>
      <c r="G525" s="1"/>
      <c r="H525" s="1"/>
    </row>
    <row r="526" spans="1:8">
      <c r="D526" s="8"/>
      <c r="E526" s="1"/>
      <c r="F526" s="1"/>
      <c r="G526" s="1"/>
      <c r="H526" s="1"/>
    </row>
    <row r="527" spans="1:8">
      <c r="D527" s="8"/>
      <c r="E527" s="1"/>
      <c r="F527" s="1"/>
      <c r="G527" s="1"/>
      <c r="H527" s="1"/>
    </row>
    <row r="528" spans="1:8">
      <c r="D528" s="8"/>
      <c r="E528" s="1"/>
      <c r="F528" s="1"/>
      <c r="G528" s="1"/>
      <c r="H528" s="1"/>
    </row>
    <row r="529" spans="2:8">
      <c r="D529" s="8"/>
      <c r="E529" s="1"/>
      <c r="F529" s="1"/>
      <c r="G529" s="1"/>
      <c r="H529" s="1"/>
    </row>
    <row r="530" spans="2:8">
      <c r="D530" s="8"/>
      <c r="E530" s="1"/>
      <c r="F530" s="1"/>
      <c r="G530" s="1"/>
      <c r="H530" s="1"/>
    </row>
    <row r="531" spans="2:8">
      <c r="D531" s="8"/>
      <c r="E531" s="1"/>
      <c r="F531" s="1"/>
      <c r="G531" s="1"/>
      <c r="H531" s="1"/>
    </row>
    <row r="532" spans="2:8">
      <c r="D532" s="8"/>
      <c r="E532" s="1"/>
      <c r="F532" s="1"/>
      <c r="G532" s="1"/>
      <c r="H532" s="1"/>
    </row>
    <row r="533" spans="2:8">
      <c r="D533" s="8"/>
      <c r="E533" s="1"/>
      <c r="F533" s="1"/>
      <c r="G533" s="1"/>
      <c r="H533" s="1"/>
    </row>
    <row r="534" spans="2:8">
      <c r="D534" s="8"/>
      <c r="E534" s="1"/>
      <c r="H534" s="1"/>
    </row>
    <row r="535" spans="2:8">
      <c r="B535" s="2"/>
      <c r="D535" s="8"/>
      <c r="E535" s="1"/>
      <c r="F535" s="1"/>
      <c r="G535" s="1"/>
      <c r="H535" s="1"/>
    </row>
    <row r="536" spans="2:8">
      <c r="D536" s="8"/>
      <c r="E536" s="1"/>
      <c r="F536" s="1"/>
      <c r="G536" s="1"/>
      <c r="H536" s="1"/>
    </row>
    <row r="537" spans="2:8">
      <c r="D537" s="8"/>
      <c r="E537" s="1"/>
      <c r="F537" s="1"/>
      <c r="G537" s="1"/>
      <c r="H537" s="1"/>
    </row>
    <row r="538" spans="2:8">
      <c r="D538" s="8"/>
      <c r="E538" s="1"/>
      <c r="F538" s="1"/>
      <c r="G538" s="1"/>
      <c r="H538" s="1"/>
    </row>
    <row r="539" spans="2:8">
      <c r="D539" s="8"/>
      <c r="E539" s="1"/>
      <c r="F539" s="1"/>
      <c r="G539" s="1"/>
      <c r="H539" s="1"/>
    </row>
    <row r="540" spans="2:8">
      <c r="D540" s="8"/>
      <c r="E540" s="1"/>
      <c r="F540" s="1"/>
      <c r="G540" s="1"/>
      <c r="H540" s="1"/>
    </row>
    <row r="541" spans="2:8">
      <c r="D541" s="8"/>
      <c r="E541" s="1"/>
      <c r="F541" s="1"/>
      <c r="G541" s="1"/>
      <c r="H541" s="1"/>
    </row>
    <row r="542" spans="2:8">
      <c r="D542" s="8"/>
      <c r="E542" s="1"/>
      <c r="F542" s="1"/>
      <c r="G542" s="1"/>
      <c r="H542" s="1"/>
    </row>
    <row r="543" spans="2:8">
      <c r="D543" s="8"/>
      <c r="E543" s="1"/>
      <c r="F543" s="1"/>
      <c r="G543" s="1"/>
      <c r="H543" s="1"/>
    </row>
    <row r="544" spans="2:8">
      <c r="D544" s="8"/>
      <c r="E544" s="1"/>
      <c r="F544" s="1"/>
      <c r="G544" s="1"/>
      <c r="H544" s="1"/>
    </row>
    <row r="545" spans="2:8">
      <c r="D545" s="8"/>
      <c r="E545" s="1"/>
      <c r="F545" s="1"/>
      <c r="G545" s="1"/>
      <c r="H545" s="1"/>
    </row>
    <row r="546" spans="2:8">
      <c r="D546" s="8"/>
      <c r="E546" s="1"/>
      <c r="F546" s="1"/>
      <c r="G546" s="1"/>
      <c r="H546" s="1"/>
    </row>
    <row r="547" spans="2:8">
      <c r="D547" s="8"/>
      <c r="E547" s="1"/>
      <c r="F547" s="1"/>
      <c r="G547" s="1"/>
      <c r="H547" s="1"/>
    </row>
    <row r="548" spans="2:8">
      <c r="D548" s="8"/>
      <c r="E548" s="1"/>
      <c r="F548" s="1"/>
      <c r="G548" s="1"/>
      <c r="H548" s="1"/>
    </row>
    <row r="549" spans="2:8">
      <c r="D549" s="8"/>
      <c r="F549" s="1"/>
      <c r="G549" s="1"/>
      <c r="H549" s="1"/>
    </row>
    <row r="550" spans="2:8">
      <c r="D550" s="8"/>
      <c r="E550" s="1"/>
      <c r="F550" s="1"/>
      <c r="G550" s="1"/>
      <c r="H550" s="1"/>
    </row>
    <row r="551" spans="2:8">
      <c r="B551" s="2"/>
      <c r="D551" s="8"/>
      <c r="E551" s="1"/>
      <c r="F551" s="1"/>
      <c r="G551" s="1"/>
      <c r="H551" s="1"/>
    </row>
    <row r="552" spans="2:8">
      <c r="D552" s="8"/>
      <c r="E552" s="1"/>
      <c r="F552" s="1"/>
      <c r="G552" s="1"/>
      <c r="H552" s="1"/>
    </row>
    <row r="553" spans="2:8">
      <c r="D553" s="8"/>
      <c r="E553" s="1"/>
      <c r="F553" s="1"/>
      <c r="G553" s="1"/>
      <c r="H553" s="1"/>
    </row>
    <row r="554" spans="2:8">
      <c r="D554" s="8"/>
      <c r="E554" s="1"/>
      <c r="F554" s="1"/>
      <c r="G554" s="1"/>
      <c r="H554" s="1"/>
    </row>
    <row r="555" spans="2:8">
      <c r="D555" s="8"/>
      <c r="E555" s="1"/>
      <c r="F555" s="1"/>
      <c r="G555" s="1"/>
      <c r="H555" s="1"/>
    </row>
    <row r="556" spans="2:8">
      <c r="D556" s="8"/>
      <c r="E556" s="1"/>
      <c r="F556" s="1"/>
      <c r="G556" s="1"/>
      <c r="H556" s="1"/>
    </row>
    <row r="557" spans="2:8">
      <c r="D557" s="8"/>
      <c r="E557" s="1"/>
      <c r="F557" s="1"/>
      <c r="G557" s="1"/>
      <c r="H557" s="1"/>
    </row>
    <row r="558" spans="2:8">
      <c r="D558" s="8"/>
      <c r="E558" s="1"/>
      <c r="F558" s="1"/>
      <c r="G558" s="1"/>
      <c r="H558" s="1"/>
    </row>
    <row r="559" spans="2:8">
      <c r="D559" s="8"/>
      <c r="E559" s="1"/>
      <c r="F559" s="1"/>
      <c r="G559" s="1"/>
      <c r="H559" s="1"/>
    </row>
    <row r="560" spans="2:8">
      <c r="D560" s="8"/>
      <c r="E560" s="1"/>
      <c r="F560" s="1"/>
      <c r="G560" s="1"/>
      <c r="H560" s="1"/>
    </row>
    <row r="561" spans="2:8">
      <c r="D561" s="8"/>
      <c r="E561" s="1"/>
      <c r="F561" s="1"/>
      <c r="G561" s="1"/>
      <c r="H561" s="1"/>
    </row>
    <row r="562" spans="2:8">
      <c r="D562" s="8"/>
      <c r="E562" s="1"/>
      <c r="F562" s="1"/>
      <c r="G562" s="1"/>
      <c r="H562" s="1"/>
    </row>
    <row r="563" spans="2:8">
      <c r="D563" s="8"/>
      <c r="E563" s="1"/>
      <c r="F563" s="1"/>
      <c r="G563" s="1"/>
      <c r="H563" s="1"/>
    </row>
    <row r="564" spans="2:8">
      <c r="D564" s="8"/>
      <c r="E564" s="1"/>
      <c r="F564" s="1"/>
      <c r="G564" s="1"/>
      <c r="H564" s="1"/>
    </row>
    <row r="565" spans="2:8">
      <c r="D565" s="8"/>
      <c r="E565" s="1"/>
      <c r="F565" s="1"/>
      <c r="G565" s="1"/>
      <c r="H565" s="1"/>
    </row>
    <row r="566" spans="2:8">
      <c r="D566" s="8"/>
      <c r="E566" s="1"/>
      <c r="F566" s="1"/>
      <c r="G566" s="1"/>
      <c r="H566" s="1"/>
    </row>
    <row r="567" spans="2:8">
      <c r="D567" s="8"/>
      <c r="F567" s="1"/>
      <c r="G567" s="1"/>
      <c r="H567" s="1"/>
    </row>
    <row r="568" spans="2:8">
      <c r="D568" s="8"/>
      <c r="E568" s="1"/>
      <c r="F568" s="1"/>
      <c r="G568" s="1"/>
      <c r="H568" s="1"/>
    </row>
    <row r="569" spans="2:8">
      <c r="D569" s="8"/>
      <c r="E569" s="1"/>
      <c r="F569" s="1"/>
      <c r="G569" s="1"/>
      <c r="H569" s="1"/>
    </row>
    <row r="570" spans="2:8">
      <c r="D570" s="8"/>
      <c r="E570" s="1"/>
      <c r="F570" s="1"/>
      <c r="G570" s="1"/>
      <c r="H570" s="1"/>
    </row>
    <row r="571" spans="2:8">
      <c r="D571" s="8"/>
      <c r="E571" s="1"/>
      <c r="F571" s="1"/>
      <c r="G571" s="1"/>
      <c r="H571" s="1"/>
    </row>
    <row r="572" spans="2:8">
      <c r="D572" s="8"/>
      <c r="E572" s="1"/>
      <c r="F572" s="1"/>
      <c r="G572" s="1"/>
      <c r="H572" s="1"/>
    </row>
    <row r="573" spans="2:8">
      <c r="B573" s="2"/>
      <c r="D573" s="8"/>
      <c r="E573" s="1"/>
      <c r="F573" s="1"/>
      <c r="G573" s="1"/>
      <c r="H573" s="1"/>
    </row>
    <row r="574" spans="2:8">
      <c r="D574" s="8"/>
      <c r="E574" s="1"/>
      <c r="H574" s="1"/>
    </row>
    <row r="575" spans="2:8">
      <c r="D575" s="8"/>
      <c r="E575" s="1"/>
      <c r="F575" s="1"/>
      <c r="G575" s="1"/>
      <c r="H575" s="1"/>
    </row>
    <row r="576" spans="2:8">
      <c r="D576" s="8"/>
      <c r="E576" s="1"/>
      <c r="F576" s="1"/>
      <c r="G576" s="1"/>
      <c r="H576" s="1"/>
    </row>
    <row r="577" spans="4:8">
      <c r="D577" s="8"/>
      <c r="E577" s="1"/>
      <c r="F577" s="1"/>
      <c r="G577" s="1"/>
      <c r="H577" s="1"/>
    </row>
    <row r="578" spans="4:8">
      <c r="D578" s="8"/>
      <c r="E578" s="1"/>
      <c r="F578" s="1"/>
      <c r="G578" s="1"/>
      <c r="H578" s="1"/>
    </row>
    <row r="579" spans="4:8">
      <c r="D579" s="8"/>
      <c r="E579" s="1"/>
      <c r="F579" s="1"/>
      <c r="G579" s="1"/>
      <c r="H579" s="1"/>
    </row>
    <row r="580" spans="4:8">
      <c r="D580" s="8"/>
      <c r="E580" s="1"/>
      <c r="F580" s="1"/>
      <c r="G580" s="1"/>
      <c r="H580" s="1"/>
    </row>
    <row r="581" spans="4:8">
      <c r="D581" s="8"/>
      <c r="E581" s="1"/>
      <c r="F581" s="1"/>
      <c r="G581" s="1"/>
      <c r="H581" s="1"/>
    </row>
    <row r="582" spans="4:8">
      <c r="D582" s="8"/>
      <c r="E582" s="1"/>
      <c r="F582" s="1"/>
      <c r="G582" s="1"/>
      <c r="H582" s="1"/>
    </row>
    <row r="583" spans="4:8">
      <c r="D583" s="8"/>
      <c r="E583" s="1"/>
      <c r="F583" s="1"/>
      <c r="G583" s="1"/>
      <c r="H583" s="1"/>
    </row>
    <row r="584" spans="4:8">
      <c r="D584" s="8"/>
      <c r="E584" s="1"/>
      <c r="F584" s="1"/>
      <c r="G584" s="1"/>
      <c r="H584" s="1"/>
    </row>
    <row r="585" spans="4:8">
      <c r="D585" s="8"/>
      <c r="E585" s="1"/>
      <c r="F585" s="1"/>
      <c r="G585" s="1"/>
      <c r="H585" s="1"/>
    </row>
    <row r="586" spans="4:8">
      <c r="D586" s="8"/>
      <c r="E586" s="1"/>
      <c r="F586" s="1"/>
      <c r="G586" s="1"/>
      <c r="H586" s="1"/>
    </row>
    <row r="587" spans="4:8">
      <c r="D587" s="8"/>
      <c r="E587" s="1"/>
      <c r="F587" s="1"/>
      <c r="G587" s="1"/>
      <c r="H587" s="1"/>
    </row>
    <row r="588" spans="4:8">
      <c r="D588" s="8"/>
      <c r="E588" s="1"/>
      <c r="F588" s="1"/>
      <c r="G588" s="1"/>
      <c r="H588" s="1"/>
    </row>
    <row r="589" spans="4:8">
      <c r="D589" s="8"/>
      <c r="E589" s="1"/>
      <c r="F589" s="1"/>
      <c r="G589" s="1"/>
      <c r="H589" s="1"/>
    </row>
    <row r="590" spans="4:8">
      <c r="D590" s="8"/>
      <c r="E590" s="1"/>
      <c r="F590" s="1"/>
      <c r="G590" s="1"/>
      <c r="H590" s="1"/>
    </row>
    <row r="591" spans="4:8">
      <c r="D591" s="8"/>
      <c r="E591" s="1"/>
      <c r="F591" s="1"/>
      <c r="G591" s="1"/>
      <c r="H591" s="1"/>
    </row>
    <row r="592" spans="4:8">
      <c r="D592" s="8"/>
      <c r="E592" s="1"/>
      <c r="F592" s="1"/>
      <c r="G592" s="1"/>
      <c r="H592" s="1"/>
    </row>
    <row r="593" spans="1:8">
      <c r="D593" s="8"/>
      <c r="E593" s="1"/>
      <c r="F593" s="1"/>
      <c r="G593" s="1"/>
      <c r="H593" s="1"/>
    </row>
    <row r="594" spans="1:8">
      <c r="D594" s="8"/>
      <c r="E594" s="1"/>
      <c r="F594" s="1"/>
      <c r="G594" s="1"/>
      <c r="H594" s="1"/>
    </row>
    <row r="595" spans="1:8">
      <c r="D595" s="8"/>
      <c r="E595" s="1"/>
      <c r="F595" s="1"/>
      <c r="G595" s="1"/>
      <c r="H595" s="1"/>
    </row>
    <row r="596" spans="1:8">
      <c r="D596" s="8"/>
      <c r="E596" s="1"/>
      <c r="F596" s="1"/>
      <c r="G596" s="1"/>
      <c r="H596" s="1"/>
    </row>
    <row r="597" spans="1:8">
      <c r="D597" s="8"/>
      <c r="E597" s="1"/>
      <c r="F597" s="1"/>
      <c r="G597" s="1"/>
      <c r="H597" s="1"/>
    </row>
    <row r="598" spans="1:8">
      <c r="D598" s="8"/>
      <c r="E598" s="1"/>
      <c r="F598" s="1"/>
      <c r="G598" s="1"/>
      <c r="H598" s="1"/>
    </row>
    <row r="599" spans="1:8">
      <c r="D599" s="8"/>
      <c r="E599" s="1"/>
      <c r="F599" s="1"/>
      <c r="G599" s="1"/>
      <c r="H599" s="1"/>
    </row>
    <row r="600" spans="1:8">
      <c r="D600" s="8"/>
      <c r="E600" s="1"/>
      <c r="F600" s="1"/>
      <c r="G600" s="1"/>
      <c r="H600" s="1"/>
    </row>
    <row r="601" spans="1:8">
      <c r="A601" s="2"/>
      <c r="D601" s="8"/>
      <c r="E601" s="1"/>
      <c r="F601" s="1"/>
      <c r="G601" s="1"/>
      <c r="H601" s="1"/>
    </row>
    <row r="602" spans="1:8">
      <c r="D602" s="8"/>
      <c r="E602" s="1"/>
      <c r="F602" s="1"/>
      <c r="H602" s="1"/>
    </row>
    <row r="603" spans="1:8">
      <c r="D603" s="8"/>
      <c r="E603" s="1"/>
      <c r="F603" s="1"/>
      <c r="G603" s="1"/>
      <c r="H603" s="1"/>
    </row>
    <row r="604" spans="1:8">
      <c r="D604" s="8"/>
      <c r="E604" s="1"/>
      <c r="F604" s="1"/>
      <c r="G604" s="1"/>
      <c r="H604" s="1"/>
    </row>
    <row r="605" spans="1:8">
      <c r="D605" s="8"/>
      <c r="E605" s="1"/>
      <c r="F605" s="1"/>
      <c r="G605" s="1"/>
      <c r="H605" s="1"/>
    </row>
    <row r="606" spans="1:8">
      <c r="D606" s="8"/>
      <c r="E606" s="1"/>
      <c r="F606" s="1"/>
      <c r="G606" s="1"/>
      <c r="H606" s="1"/>
    </row>
    <row r="607" spans="1:8">
      <c r="D607" s="8"/>
      <c r="E607" s="1"/>
      <c r="F607" s="1"/>
      <c r="G607" s="1"/>
      <c r="H607" s="1"/>
    </row>
    <row r="608" spans="1:8">
      <c r="D608" s="8"/>
      <c r="E608" s="1"/>
      <c r="F608" s="1"/>
      <c r="G608" s="1"/>
      <c r="H608" s="1"/>
    </row>
    <row r="609" spans="4:8">
      <c r="D609" s="8"/>
      <c r="E609" s="1"/>
      <c r="F609" s="1"/>
      <c r="G609" s="1"/>
      <c r="H609" s="1"/>
    </row>
    <row r="610" spans="4:8">
      <c r="D610" s="8"/>
      <c r="E610" s="1"/>
      <c r="F610" s="1"/>
      <c r="G610" s="1"/>
      <c r="H610" s="1"/>
    </row>
    <row r="611" spans="4:8">
      <c r="D611" s="8"/>
      <c r="E611" s="1"/>
      <c r="F611" s="1"/>
      <c r="G611" s="1"/>
      <c r="H611" s="1"/>
    </row>
    <row r="612" spans="4:8">
      <c r="D612" s="8"/>
      <c r="E612" s="1"/>
      <c r="F612" s="1"/>
      <c r="G612" s="1"/>
      <c r="H612" s="1"/>
    </row>
    <row r="613" spans="4:8">
      <c r="D613" s="8"/>
      <c r="E613" s="1"/>
      <c r="F613" s="1"/>
      <c r="G613" s="1"/>
      <c r="H613" s="1"/>
    </row>
    <row r="614" spans="4:8">
      <c r="D614" s="8"/>
      <c r="E614" s="1"/>
      <c r="F614" s="1"/>
      <c r="G614" s="1"/>
      <c r="H614" s="1"/>
    </row>
    <row r="615" spans="4:8">
      <c r="D615" s="8"/>
      <c r="E615" s="1"/>
      <c r="F615" s="1"/>
      <c r="G615" s="1"/>
      <c r="H615" s="1"/>
    </row>
    <row r="616" spans="4:8">
      <c r="D616" s="8"/>
      <c r="E616" s="1"/>
      <c r="F616" s="1"/>
      <c r="G616" s="1"/>
      <c r="H616" s="1"/>
    </row>
    <row r="617" spans="4:8">
      <c r="D617" s="8"/>
      <c r="E617" s="1"/>
      <c r="F617" s="1"/>
      <c r="G617" s="1"/>
      <c r="H617" s="1"/>
    </row>
    <row r="618" spans="4:8">
      <c r="D618" s="8"/>
      <c r="E618" s="1"/>
      <c r="F618" s="1"/>
      <c r="H618" s="1"/>
    </row>
    <row r="619" spans="4:8">
      <c r="D619" s="8"/>
      <c r="E619" s="1"/>
      <c r="F619" s="1"/>
      <c r="G619" s="1"/>
      <c r="H619" s="1"/>
    </row>
    <row r="620" spans="4:8">
      <c r="D620" s="8"/>
      <c r="E620" s="1"/>
      <c r="F620" s="1"/>
      <c r="G620" s="1"/>
      <c r="H620" s="1"/>
    </row>
    <row r="621" spans="4:8">
      <c r="D621" s="8"/>
      <c r="E621" s="1"/>
      <c r="F621" s="1"/>
      <c r="G621" s="1"/>
      <c r="H621" s="1"/>
    </row>
    <row r="622" spans="4:8">
      <c r="D622" s="8"/>
      <c r="E622" s="1"/>
      <c r="F622" s="1"/>
      <c r="G622" s="1"/>
      <c r="H622" s="1"/>
    </row>
    <row r="623" spans="4:8">
      <c r="D623" s="8"/>
      <c r="E623" s="1"/>
      <c r="F623" s="1"/>
      <c r="G623" s="1"/>
      <c r="H623" s="1"/>
    </row>
    <row r="624" spans="4:8">
      <c r="D624" s="8"/>
      <c r="E624" s="1"/>
      <c r="F624" s="1"/>
      <c r="G624" s="1"/>
      <c r="H624" s="1"/>
    </row>
    <row r="625" spans="4:8">
      <c r="D625" s="8"/>
      <c r="E625" s="1"/>
      <c r="F625" s="1"/>
      <c r="G625" s="1"/>
      <c r="H625" s="1"/>
    </row>
    <row r="626" spans="4:8">
      <c r="D626" s="8"/>
      <c r="E626" s="1"/>
      <c r="F626" s="1"/>
      <c r="G626" s="1"/>
      <c r="H626" s="1"/>
    </row>
    <row r="627" spans="4:8">
      <c r="D627" s="8"/>
      <c r="E627" s="1"/>
      <c r="F627" s="1"/>
      <c r="G627" s="1"/>
      <c r="H627" s="1"/>
    </row>
    <row r="628" spans="4:8">
      <c r="D628" s="8"/>
      <c r="E628" s="1"/>
      <c r="F628" s="1"/>
      <c r="G628" s="1"/>
      <c r="H628" s="1"/>
    </row>
    <row r="629" spans="4:8">
      <c r="D629" s="8"/>
      <c r="E629" s="1"/>
      <c r="F629" s="1"/>
      <c r="G629" s="1"/>
      <c r="H629" s="1"/>
    </row>
    <row r="630" spans="4:8">
      <c r="D630" s="8"/>
      <c r="E630" s="1"/>
      <c r="F630" s="1"/>
      <c r="G630" s="1"/>
      <c r="H630" s="1"/>
    </row>
    <row r="631" spans="4:8">
      <c r="D631" s="8"/>
      <c r="E631" s="1"/>
      <c r="F631" s="1"/>
      <c r="G631" s="1"/>
      <c r="H631" s="1"/>
    </row>
    <row r="632" spans="4:8">
      <c r="D632" s="8"/>
      <c r="E632" s="1"/>
      <c r="F632" s="1"/>
      <c r="G632" s="1"/>
      <c r="H632" s="1"/>
    </row>
    <row r="633" spans="4:8">
      <c r="D633" s="8"/>
      <c r="E633" s="1"/>
      <c r="F633" s="1"/>
      <c r="G633" s="1"/>
      <c r="H633" s="1"/>
    </row>
    <row r="634" spans="4:8">
      <c r="D634" s="8"/>
      <c r="E634" s="1"/>
      <c r="F634" s="1"/>
      <c r="G634" s="1"/>
      <c r="H634" s="1"/>
    </row>
    <row r="635" spans="4:8">
      <c r="D635" s="8"/>
      <c r="E635" s="1"/>
      <c r="F635" s="1"/>
      <c r="G635" s="1"/>
      <c r="H635" s="1"/>
    </row>
    <row r="636" spans="4:8">
      <c r="D636" s="8"/>
      <c r="E636" s="1"/>
      <c r="F636" s="1"/>
      <c r="G636" s="1"/>
      <c r="H636" s="1"/>
    </row>
    <row r="637" spans="4:8">
      <c r="D637" s="8"/>
      <c r="E637" s="1"/>
      <c r="F637" s="1"/>
      <c r="G637" s="1"/>
      <c r="H637" s="1"/>
    </row>
    <row r="638" spans="4:8">
      <c r="D638" s="8"/>
      <c r="E638" s="1"/>
      <c r="F638" s="1"/>
      <c r="G638" s="1"/>
      <c r="H638" s="1"/>
    </row>
    <row r="639" spans="4:8">
      <c r="D639" s="8"/>
      <c r="E639" s="1"/>
      <c r="F639" s="1"/>
      <c r="G639" s="1"/>
      <c r="H639" s="1"/>
    </row>
    <row r="640" spans="4:8">
      <c r="D640" s="8"/>
      <c r="E640" s="1"/>
      <c r="F640" s="1"/>
      <c r="G640" s="1"/>
      <c r="H640" s="1"/>
    </row>
    <row r="641" spans="4:8">
      <c r="D641" s="8"/>
      <c r="E641" s="1"/>
      <c r="F641" s="1"/>
      <c r="G641" s="1"/>
      <c r="H641" s="1"/>
    </row>
    <row r="642" spans="4:8">
      <c r="D642" s="8"/>
      <c r="E642" s="1"/>
      <c r="F642" s="1"/>
      <c r="G642" s="1"/>
      <c r="H642" s="1"/>
    </row>
    <row r="643" spans="4:8">
      <c r="D643" s="8"/>
      <c r="E643" s="1"/>
      <c r="F643" s="1"/>
      <c r="G643" s="1"/>
      <c r="H643" s="1"/>
    </row>
    <row r="644" spans="4:8">
      <c r="D644" s="8"/>
      <c r="E644" s="1"/>
      <c r="H644" s="1"/>
    </row>
    <row r="645" spans="4:8">
      <c r="D645" s="8"/>
      <c r="E645" s="1"/>
      <c r="F645" s="1"/>
      <c r="G645" s="1"/>
      <c r="H645" s="1"/>
    </row>
    <row r="646" spans="4:8">
      <c r="D646" s="8"/>
      <c r="E646" s="1"/>
      <c r="F646" s="1"/>
      <c r="G646" s="1"/>
      <c r="H646" s="1"/>
    </row>
    <row r="647" spans="4:8">
      <c r="D647" s="8"/>
      <c r="E647" s="1"/>
      <c r="F647" s="1"/>
      <c r="G647" s="1"/>
      <c r="H647" s="1"/>
    </row>
    <row r="648" spans="4:8">
      <c r="D648" s="8"/>
      <c r="E648" s="1"/>
      <c r="F648" s="1"/>
      <c r="G648" s="1"/>
      <c r="H648" s="1"/>
    </row>
    <row r="649" spans="4:8">
      <c r="D649" s="8"/>
      <c r="E649" s="1"/>
      <c r="F649" s="1"/>
      <c r="G649" s="1"/>
      <c r="H649" s="1"/>
    </row>
    <row r="650" spans="4:8">
      <c r="D650" s="8"/>
      <c r="E650" s="1"/>
      <c r="F650" s="1"/>
      <c r="G650" s="1"/>
      <c r="H650" s="1"/>
    </row>
    <row r="651" spans="4:8">
      <c r="D651" s="8"/>
      <c r="E651" s="1"/>
      <c r="F651" s="1"/>
      <c r="G651" s="1"/>
      <c r="H651" s="1"/>
    </row>
    <row r="652" spans="4:8">
      <c r="D652" s="8"/>
      <c r="E652" s="1"/>
      <c r="F652" s="1"/>
      <c r="G652" s="1"/>
      <c r="H652" s="1"/>
    </row>
    <row r="653" spans="4:8">
      <c r="D653" s="8"/>
      <c r="E653" s="1"/>
      <c r="F653" s="1"/>
      <c r="G653" s="1"/>
      <c r="H653" s="1"/>
    </row>
    <row r="654" spans="4:8">
      <c r="D654" s="8"/>
      <c r="E654" s="1"/>
      <c r="F654" s="1"/>
      <c r="H654" s="1"/>
    </row>
    <row r="655" spans="4:8">
      <c r="D655" s="8"/>
      <c r="E655" s="1"/>
      <c r="F655" s="1"/>
      <c r="G655" s="1"/>
      <c r="H655" s="1"/>
    </row>
    <row r="656" spans="4:8">
      <c r="D656" s="8"/>
      <c r="E656" s="1"/>
      <c r="F656" s="1"/>
      <c r="G656" s="1"/>
      <c r="H656" s="1"/>
    </row>
    <row r="657" spans="4:8">
      <c r="D657" s="8"/>
      <c r="E657" s="1"/>
      <c r="F657" s="1"/>
      <c r="G657" s="1"/>
      <c r="H657" s="1"/>
    </row>
    <row r="658" spans="4:8">
      <c r="D658" s="8"/>
      <c r="E658" s="1"/>
      <c r="H658" s="1"/>
    </row>
    <row r="659" spans="4:8">
      <c r="D659" s="8"/>
      <c r="E659" s="1"/>
      <c r="F659" s="1"/>
      <c r="G659" s="1"/>
      <c r="H659" s="1"/>
    </row>
    <row r="660" spans="4:8">
      <c r="D660" s="8"/>
      <c r="E660" s="1"/>
      <c r="F660" s="1"/>
      <c r="G660" s="1"/>
      <c r="H660" s="1"/>
    </row>
    <row r="661" spans="4:8">
      <c r="D661" s="8"/>
      <c r="E661" s="1"/>
      <c r="F661" s="1"/>
      <c r="G661" s="1"/>
      <c r="H661" s="1"/>
    </row>
    <row r="662" spans="4:8">
      <c r="D662" s="8"/>
      <c r="E662" s="1"/>
      <c r="F662" s="1"/>
      <c r="G662" s="1"/>
      <c r="H662" s="1"/>
    </row>
    <row r="663" spans="4:8">
      <c r="D663" s="8"/>
      <c r="E663" s="1"/>
      <c r="F663" s="1"/>
      <c r="G663" s="1"/>
      <c r="H663" s="1"/>
    </row>
    <row r="664" spans="4:8">
      <c r="D664" s="8"/>
      <c r="E664" s="1"/>
      <c r="F664" s="1"/>
      <c r="G664" s="1"/>
      <c r="H664" s="1"/>
    </row>
    <row r="665" spans="4:8">
      <c r="D665" s="8"/>
      <c r="E665" s="1"/>
      <c r="F665" s="1"/>
      <c r="G665" s="1"/>
      <c r="H665" s="1"/>
    </row>
    <row r="666" spans="4:8">
      <c r="D666" s="8"/>
      <c r="E666" s="1"/>
      <c r="F666" s="1"/>
      <c r="G666" s="1"/>
      <c r="H666" s="1"/>
    </row>
    <row r="667" spans="4:8">
      <c r="D667" s="8"/>
      <c r="E667" s="1"/>
      <c r="F667" s="1"/>
      <c r="G667" s="1"/>
      <c r="H667" s="1"/>
    </row>
    <row r="668" spans="4:8">
      <c r="D668" s="8"/>
      <c r="E668" s="1"/>
      <c r="F668" s="1"/>
      <c r="G668" s="1"/>
      <c r="H668" s="1"/>
    </row>
    <row r="669" spans="4:8">
      <c r="D669" s="8"/>
      <c r="E669" s="1"/>
      <c r="F669" s="1"/>
      <c r="G669" s="1"/>
      <c r="H669" s="1"/>
    </row>
    <row r="670" spans="4:8">
      <c r="D670" s="8"/>
      <c r="E670" s="1"/>
      <c r="F670" s="1"/>
      <c r="G670" s="1"/>
      <c r="H670" s="1"/>
    </row>
    <row r="671" spans="4:8">
      <c r="D671" s="8"/>
      <c r="E671" s="1"/>
      <c r="F671" s="1"/>
      <c r="G671" s="1"/>
      <c r="H671" s="1"/>
    </row>
    <row r="672" spans="4:8">
      <c r="D672" s="8"/>
      <c r="E672" s="1"/>
      <c r="F672" s="1"/>
      <c r="G672" s="1"/>
      <c r="H672" s="1"/>
    </row>
    <row r="673" spans="2:8">
      <c r="D673" s="8"/>
      <c r="E673" s="1"/>
      <c r="F673" s="1"/>
      <c r="G673" s="1"/>
      <c r="H673" s="1"/>
    </row>
    <row r="674" spans="2:8">
      <c r="D674" s="8"/>
      <c r="E674" s="1"/>
      <c r="F674" s="1"/>
      <c r="G674" s="1"/>
      <c r="H674" s="1"/>
    </row>
    <row r="675" spans="2:8">
      <c r="D675" s="8"/>
      <c r="E675" s="1"/>
      <c r="F675" s="1"/>
      <c r="G675" s="1"/>
      <c r="H675" s="1"/>
    </row>
    <row r="676" spans="2:8">
      <c r="D676" s="8"/>
      <c r="E676" s="1"/>
      <c r="F676" s="1"/>
      <c r="G676" s="1"/>
      <c r="H676" s="1"/>
    </row>
    <row r="677" spans="2:8">
      <c r="D677" s="8"/>
      <c r="E677" s="1"/>
      <c r="F677" s="1"/>
      <c r="G677" s="1"/>
      <c r="H677" s="1"/>
    </row>
    <row r="678" spans="2:8">
      <c r="D678" s="8"/>
      <c r="E678" s="1"/>
      <c r="F678" s="1"/>
      <c r="G678" s="1"/>
      <c r="H678" s="1"/>
    </row>
    <row r="679" spans="2:8">
      <c r="D679" s="8"/>
      <c r="E679" s="1"/>
      <c r="F679" s="1"/>
      <c r="G679" s="1"/>
      <c r="H679" s="1"/>
    </row>
    <row r="680" spans="2:8">
      <c r="D680" s="8"/>
      <c r="E680" s="1"/>
      <c r="F680" s="1"/>
      <c r="G680" s="1"/>
      <c r="H680" s="1"/>
    </row>
    <row r="681" spans="2:8">
      <c r="B681" s="2"/>
      <c r="D681" s="8"/>
      <c r="E681" s="1"/>
      <c r="F681" s="1"/>
      <c r="G681" s="1"/>
      <c r="H681" s="1"/>
    </row>
    <row r="682" spans="2:8">
      <c r="D682" s="8"/>
      <c r="E682" s="1"/>
      <c r="F682" s="1"/>
      <c r="G682" s="1"/>
      <c r="H682" s="1"/>
    </row>
    <row r="683" spans="2:8">
      <c r="D683" s="8"/>
      <c r="E683" s="1"/>
      <c r="F683" s="1"/>
      <c r="G683" s="1"/>
      <c r="H683" s="1"/>
    </row>
    <row r="684" spans="2:8">
      <c r="D684" s="8"/>
      <c r="E684" s="1"/>
      <c r="F684" s="1"/>
      <c r="G684" s="1"/>
      <c r="H684" s="1"/>
    </row>
    <row r="685" spans="2:8">
      <c r="D685" s="8"/>
      <c r="E685" s="1"/>
      <c r="F685" s="1"/>
      <c r="G685" s="1"/>
      <c r="H685" s="1"/>
    </row>
    <row r="686" spans="2:8">
      <c r="D686" s="8"/>
      <c r="E686" s="1"/>
      <c r="F686" s="1"/>
      <c r="G686" s="1"/>
      <c r="H686" s="1"/>
    </row>
    <row r="687" spans="2:8">
      <c r="D687" s="8"/>
      <c r="E687" s="1"/>
      <c r="F687" s="1"/>
      <c r="G687" s="1"/>
      <c r="H687" s="1"/>
    </row>
    <row r="688" spans="2:8">
      <c r="D688" s="8"/>
      <c r="E688" s="1"/>
      <c r="F688" s="1"/>
      <c r="G688" s="1"/>
      <c r="H688" s="1"/>
    </row>
    <row r="689" spans="4:8">
      <c r="D689" s="8"/>
      <c r="E689" s="1"/>
      <c r="F689" s="1"/>
      <c r="G689" s="1"/>
      <c r="H689" s="1"/>
    </row>
    <row r="690" spans="4:8">
      <c r="D690" s="8"/>
      <c r="E690" s="1"/>
      <c r="F690" s="1"/>
      <c r="H690" s="1"/>
    </row>
    <row r="691" spans="4:8">
      <c r="D691" s="8"/>
      <c r="E691" s="1"/>
      <c r="F691" s="1"/>
      <c r="G691" s="1"/>
      <c r="H691" s="1"/>
    </row>
    <row r="692" spans="4:8">
      <c r="D692" s="8"/>
      <c r="E692" s="1"/>
      <c r="F692" s="1"/>
      <c r="G692" s="1"/>
      <c r="H692" s="1"/>
    </row>
    <row r="693" spans="4:8">
      <c r="D693" s="8"/>
      <c r="E693" s="1"/>
      <c r="F693" s="1"/>
      <c r="G693" s="1"/>
      <c r="H693" s="1"/>
    </row>
    <row r="694" spans="4:8">
      <c r="D694" s="8"/>
      <c r="E694" s="1"/>
      <c r="F694" s="1"/>
      <c r="G694" s="1"/>
      <c r="H694" s="1"/>
    </row>
    <row r="695" spans="4:8">
      <c r="D695" s="8"/>
      <c r="E695" s="1"/>
      <c r="F695" s="1"/>
      <c r="G695" s="1"/>
      <c r="H695" s="1"/>
    </row>
    <row r="696" spans="4:8">
      <c r="D696" s="8"/>
      <c r="E696" s="1"/>
      <c r="F696" s="1"/>
      <c r="G696" s="1"/>
      <c r="H696" s="1"/>
    </row>
    <row r="697" spans="4:8">
      <c r="D697" s="8"/>
      <c r="E697" s="1"/>
      <c r="F697" s="1"/>
      <c r="G697" s="1"/>
      <c r="H697" s="1"/>
    </row>
    <row r="698" spans="4:8">
      <c r="D698" s="8"/>
      <c r="E698" s="1"/>
      <c r="F698" s="1"/>
      <c r="G698" s="1"/>
      <c r="H698" s="1"/>
    </row>
    <row r="699" spans="4:8">
      <c r="D699" s="8"/>
      <c r="E699" s="1"/>
      <c r="F699" s="1"/>
      <c r="G699" s="1"/>
      <c r="H699" s="1"/>
    </row>
    <row r="700" spans="4:8">
      <c r="D700" s="8"/>
      <c r="E700" s="1"/>
      <c r="F700" s="1"/>
      <c r="G700" s="1"/>
      <c r="H700" s="1"/>
    </row>
    <row r="701" spans="4:8">
      <c r="D701" s="8"/>
      <c r="E701" s="1"/>
      <c r="F701" s="1"/>
      <c r="G701" s="1"/>
      <c r="H701" s="1"/>
    </row>
    <row r="702" spans="4:8">
      <c r="D702" s="8"/>
      <c r="E702" s="1"/>
      <c r="F702" s="1"/>
      <c r="G702" s="1"/>
      <c r="H702" s="1"/>
    </row>
    <row r="703" spans="4:8">
      <c r="D703" s="8"/>
      <c r="E703" s="1"/>
      <c r="F703" s="1"/>
      <c r="G703" s="1"/>
      <c r="H703" s="1"/>
    </row>
    <row r="704" spans="4:8">
      <c r="D704" s="8"/>
      <c r="E704" s="1"/>
      <c r="F704" s="1"/>
      <c r="G704" s="1"/>
      <c r="H704" s="1"/>
    </row>
    <row r="705" spans="4:8">
      <c r="D705" s="8"/>
      <c r="E705" s="1"/>
      <c r="F705" s="1"/>
      <c r="G705" s="1"/>
      <c r="H705" s="1"/>
    </row>
    <row r="706" spans="4:8">
      <c r="D706" s="8"/>
      <c r="E706" s="1"/>
      <c r="H706" s="1"/>
    </row>
    <row r="707" spans="4:8">
      <c r="D707" s="8"/>
      <c r="E707" s="1"/>
      <c r="F707" s="1"/>
      <c r="G707" s="1"/>
      <c r="H707" s="1"/>
    </row>
    <row r="708" spans="4:8">
      <c r="D708" s="8"/>
      <c r="E708" s="1"/>
      <c r="F708" s="1"/>
      <c r="G708" s="1"/>
      <c r="H708" s="1"/>
    </row>
    <row r="709" spans="4:8">
      <c r="D709" s="8"/>
      <c r="E709" s="1"/>
      <c r="F709" s="1"/>
      <c r="G709" s="1"/>
      <c r="H709" s="1"/>
    </row>
    <row r="710" spans="4:8">
      <c r="D710" s="8"/>
      <c r="E710" s="1"/>
      <c r="F710" s="1"/>
      <c r="G710" s="1"/>
      <c r="H710" s="1"/>
    </row>
    <row r="711" spans="4:8">
      <c r="D711" s="8"/>
      <c r="E711" s="1"/>
      <c r="F711" s="1"/>
      <c r="G711" s="1"/>
      <c r="H711" s="1"/>
    </row>
    <row r="712" spans="4:8">
      <c r="D712" s="8"/>
      <c r="E712" s="1"/>
      <c r="F712" s="1"/>
      <c r="G712" s="1"/>
      <c r="H712" s="1"/>
    </row>
    <row r="713" spans="4:8">
      <c r="D713" s="8"/>
      <c r="E713" s="1"/>
      <c r="F713" s="1"/>
      <c r="G713" s="1"/>
      <c r="H713" s="1"/>
    </row>
    <row r="714" spans="4:8">
      <c r="D714" s="8"/>
      <c r="E714" s="1"/>
      <c r="F714" s="1"/>
      <c r="G714" s="1"/>
      <c r="H714" s="1"/>
    </row>
    <row r="715" spans="4:8">
      <c r="D715" s="8"/>
      <c r="E715" s="1"/>
      <c r="F715" s="1"/>
      <c r="G715" s="1"/>
      <c r="H715" s="1"/>
    </row>
    <row r="716" spans="4:8">
      <c r="D716" s="8"/>
      <c r="E716" s="1"/>
      <c r="F716" s="1"/>
      <c r="G716" s="1"/>
      <c r="H716" s="1"/>
    </row>
    <row r="717" spans="4:8">
      <c r="D717" s="8"/>
      <c r="E717" s="1"/>
      <c r="F717" s="1"/>
      <c r="G717" s="1"/>
      <c r="H717" s="1"/>
    </row>
    <row r="718" spans="4:8">
      <c r="D718" s="8"/>
      <c r="E718" s="1"/>
      <c r="F718" s="1"/>
      <c r="G718" s="1"/>
      <c r="H718" s="1"/>
    </row>
    <row r="719" spans="4:8">
      <c r="D719" s="8"/>
      <c r="E719" s="1"/>
      <c r="F719" s="1"/>
      <c r="G719" s="1"/>
      <c r="H719" s="1"/>
    </row>
    <row r="720" spans="4:8">
      <c r="D720" s="8"/>
      <c r="E720" s="1"/>
      <c r="F720" s="1"/>
      <c r="G720" s="1"/>
      <c r="H720" s="1"/>
    </row>
    <row r="721" spans="1:8">
      <c r="D721" s="8"/>
      <c r="E721" s="1"/>
      <c r="F721" s="1"/>
      <c r="G721" s="1"/>
      <c r="H721" s="1"/>
    </row>
    <row r="722" spans="1:8">
      <c r="D722" s="8"/>
      <c r="E722" s="1"/>
      <c r="F722" s="1"/>
      <c r="G722" s="1"/>
      <c r="H722" s="1"/>
    </row>
    <row r="723" spans="1:8">
      <c r="D723" s="8"/>
      <c r="E723" s="1"/>
      <c r="F723" s="1"/>
      <c r="G723" s="1"/>
      <c r="H723" s="1"/>
    </row>
    <row r="724" spans="1:8">
      <c r="D724" s="8"/>
      <c r="E724" s="1"/>
      <c r="F724" s="1"/>
      <c r="G724" s="1"/>
      <c r="H724" s="1"/>
    </row>
    <row r="725" spans="1:8">
      <c r="D725" s="8"/>
      <c r="E725" s="1"/>
      <c r="H725" s="1"/>
    </row>
    <row r="726" spans="1:8">
      <c r="D726" s="8"/>
      <c r="E726" s="1"/>
      <c r="F726" s="1"/>
      <c r="G726" s="1"/>
      <c r="H726" s="1"/>
    </row>
    <row r="727" spans="1:8">
      <c r="D727" s="8"/>
      <c r="E727" s="1"/>
      <c r="F727" s="1"/>
      <c r="G727" s="1"/>
      <c r="H727" s="1"/>
    </row>
    <row r="728" spans="1:8">
      <c r="D728" s="8"/>
      <c r="E728" s="1"/>
      <c r="F728" s="1"/>
      <c r="G728" s="1"/>
      <c r="H728" s="1"/>
    </row>
    <row r="729" spans="1:8">
      <c r="D729" s="8"/>
      <c r="E729" s="1"/>
      <c r="F729" s="1"/>
      <c r="G729" s="1"/>
      <c r="H729" s="1"/>
    </row>
    <row r="730" spans="1:8">
      <c r="D730" s="8"/>
      <c r="E730" s="1"/>
      <c r="F730" s="1"/>
      <c r="G730" s="1"/>
      <c r="H730" s="1"/>
    </row>
    <row r="731" spans="1:8">
      <c r="D731" s="8"/>
      <c r="E731" s="1"/>
      <c r="F731" s="1"/>
      <c r="G731" s="1"/>
      <c r="H731" s="1"/>
    </row>
    <row r="732" spans="1:8">
      <c r="A732" s="2"/>
      <c r="D732" s="8"/>
      <c r="E732" s="1"/>
      <c r="F732" s="1"/>
      <c r="G732" s="1"/>
      <c r="H732" s="1"/>
    </row>
    <row r="733" spans="1:8">
      <c r="D733" s="8"/>
      <c r="E733" s="1"/>
      <c r="F733" s="1"/>
      <c r="G733" s="1"/>
      <c r="H733" s="1"/>
    </row>
    <row r="734" spans="1:8">
      <c r="D734" s="8"/>
      <c r="E734" s="1"/>
      <c r="F734" s="1"/>
      <c r="G734" s="1"/>
      <c r="H734" s="1"/>
    </row>
    <row r="735" spans="1:8">
      <c r="D735" s="8"/>
      <c r="E735" s="1"/>
      <c r="F735" s="1"/>
      <c r="G735" s="1"/>
      <c r="H735" s="1"/>
    </row>
    <row r="736" spans="1:8">
      <c r="D736" s="8"/>
      <c r="E736" s="1"/>
      <c r="H736" s="1"/>
    </row>
    <row r="737" spans="2:8">
      <c r="D737" s="8"/>
      <c r="E737" s="1"/>
      <c r="F737" s="1"/>
      <c r="G737" s="1"/>
      <c r="H737" s="1"/>
    </row>
    <row r="738" spans="2:8">
      <c r="D738" s="8"/>
      <c r="E738" s="1"/>
      <c r="F738" s="1"/>
      <c r="G738" s="1"/>
      <c r="H738" s="1"/>
    </row>
    <row r="739" spans="2:8">
      <c r="D739" s="8"/>
      <c r="E739" s="1"/>
      <c r="F739" s="1"/>
      <c r="G739" s="1"/>
      <c r="H739" s="1"/>
    </row>
    <row r="740" spans="2:8">
      <c r="B740" s="2"/>
      <c r="D740" s="8"/>
      <c r="E740" s="1"/>
      <c r="F740" s="1"/>
      <c r="G740" s="1"/>
      <c r="H740" s="1"/>
    </row>
    <row r="741" spans="2:8">
      <c r="D741" s="8"/>
      <c r="E741" s="1"/>
      <c r="F741" s="1"/>
      <c r="G741" s="1"/>
      <c r="H741" s="1"/>
    </row>
    <row r="742" spans="2:8">
      <c r="D742" s="8"/>
      <c r="E742" s="1"/>
      <c r="F742" s="1"/>
      <c r="G742" s="1"/>
      <c r="H742" s="1"/>
    </row>
    <row r="743" spans="2:8">
      <c r="D743" s="8"/>
      <c r="E743" s="1"/>
      <c r="F743" s="1"/>
      <c r="G743" s="1"/>
      <c r="H743" s="1"/>
    </row>
    <row r="744" spans="2:8">
      <c r="D744" s="8"/>
      <c r="E744" s="1"/>
      <c r="F744" s="1"/>
      <c r="H744" s="1"/>
    </row>
    <row r="745" spans="2:8">
      <c r="D745" s="8"/>
      <c r="E745" s="1"/>
      <c r="F745" s="1"/>
      <c r="H745" s="1"/>
    </row>
    <row r="746" spans="2:8">
      <c r="D746" s="8"/>
      <c r="E746" s="1"/>
      <c r="F746" s="1"/>
      <c r="G746" s="1"/>
      <c r="H746" s="1"/>
    </row>
    <row r="747" spans="2:8">
      <c r="D747" s="8"/>
      <c r="E747" s="1"/>
      <c r="F747" s="1"/>
      <c r="G747" s="1"/>
      <c r="H747" s="1"/>
    </row>
    <row r="748" spans="2:8">
      <c r="D748" s="8"/>
      <c r="E748" s="1"/>
      <c r="H748" s="1"/>
    </row>
    <row r="749" spans="2:8">
      <c r="D749" s="8"/>
      <c r="E749" s="1"/>
      <c r="F749" s="1"/>
      <c r="G749" s="1"/>
      <c r="H749" s="1"/>
    </row>
    <row r="750" spans="2:8">
      <c r="D750" s="8"/>
      <c r="E750" s="1"/>
      <c r="F750" s="1"/>
      <c r="G750" s="1"/>
      <c r="H750" s="1"/>
    </row>
    <row r="751" spans="2:8">
      <c r="D751" s="8"/>
      <c r="E751" s="1"/>
      <c r="F751" s="1"/>
      <c r="G751" s="1"/>
      <c r="H751" s="1"/>
    </row>
    <row r="752" spans="2:8">
      <c r="B752" s="2"/>
      <c r="D752" s="8"/>
      <c r="E752" s="1"/>
      <c r="F752" s="1"/>
      <c r="G752" s="1"/>
      <c r="H752" s="1"/>
    </row>
    <row r="753" spans="2:8">
      <c r="D753" s="8"/>
      <c r="E753" s="1"/>
      <c r="F753" s="1"/>
      <c r="G753" s="1"/>
      <c r="H753" s="1"/>
    </row>
    <row r="754" spans="2:8">
      <c r="D754" s="8"/>
      <c r="E754" s="1"/>
      <c r="F754" s="1"/>
      <c r="G754" s="1"/>
      <c r="H754" s="1"/>
    </row>
    <row r="755" spans="2:8">
      <c r="B755" s="2"/>
      <c r="D755" s="8"/>
      <c r="E755" s="1"/>
      <c r="F755" s="1"/>
      <c r="G755" s="1"/>
      <c r="H755" s="1"/>
    </row>
    <row r="756" spans="2:8">
      <c r="D756" s="8"/>
      <c r="E756" s="1"/>
      <c r="F756" s="1"/>
      <c r="G756" s="1"/>
      <c r="H756" s="1"/>
    </row>
    <row r="757" spans="2:8">
      <c r="D757" s="8"/>
      <c r="E757" s="1"/>
      <c r="F757" s="1"/>
      <c r="G757" s="1"/>
      <c r="H757" s="1"/>
    </row>
    <row r="758" spans="2:8">
      <c r="D758" s="8"/>
      <c r="E758" s="1"/>
      <c r="F758" s="1"/>
      <c r="G758" s="1"/>
      <c r="H758" s="1"/>
    </row>
    <row r="759" spans="2:8">
      <c r="D759" s="8"/>
      <c r="E759" s="1"/>
      <c r="F759" s="1"/>
      <c r="G759" s="1"/>
      <c r="H759" s="1"/>
    </row>
    <row r="760" spans="2:8">
      <c r="D760" s="8"/>
      <c r="E760" s="1"/>
      <c r="F760" s="1"/>
      <c r="G760" s="1"/>
      <c r="H760" s="1"/>
    </row>
    <row r="761" spans="2:8">
      <c r="D761" s="8"/>
      <c r="E761" s="1"/>
      <c r="F761" s="1"/>
      <c r="G761" s="1"/>
      <c r="H761" s="1"/>
    </row>
    <row r="762" spans="2:8">
      <c r="D762" s="8"/>
      <c r="E762" s="1"/>
      <c r="F762" s="1"/>
      <c r="G762" s="1"/>
      <c r="H762" s="1"/>
    </row>
    <row r="763" spans="2:8">
      <c r="D763" s="8"/>
      <c r="E763" s="1"/>
      <c r="F763" s="1"/>
      <c r="G763" s="1"/>
      <c r="H763" s="1"/>
    </row>
    <row r="764" spans="2:8">
      <c r="D764" s="8"/>
      <c r="E764" s="1"/>
      <c r="F764" s="1"/>
      <c r="G764" s="1"/>
      <c r="H764" s="1"/>
    </row>
    <row r="765" spans="2:8">
      <c r="B765" s="2"/>
      <c r="D765" s="8"/>
      <c r="E765" s="1"/>
      <c r="H765" s="1"/>
    </row>
    <row r="766" spans="2:8">
      <c r="D766" s="8"/>
      <c r="E766" s="1"/>
      <c r="F766" s="1"/>
      <c r="G766" s="1"/>
      <c r="H766" s="1"/>
    </row>
    <row r="767" spans="2:8">
      <c r="D767" s="8"/>
      <c r="E767" s="1"/>
      <c r="F767" s="1"/>
      <c r="G767" s="1"/>
      <c r="H767" s="1"/>
    </row>
    <row r="768" spans="2:8">
      <c r="D768" s="8"/>
      <c r="E768" s="1"/>
      <c r="F768" s="1"/>
      <c r="G768" s="1"/>
      <c r="H768" s="1"/>
    </row>
    <row r="769" spans="4:8">
      <c r="D769" s="8"/>
      <c r="E769" s="1"/>
      <c r="F769" s="1"/>
      <c r="G769" s="1"/>
      <c r="H769" s="1"/>
    </row>
    <row r="770" spans="4:8">
      <c r="D770" s="8"/>
      <c r="E770" s="1"/>
      <c r="F770" s="1"/>
      <c r="G770" s="1"/>
      <c r="H770" s="1"/>
    </row>
    <row r="771" spans="4:8">
      <c r="D771" s="8"/>
      <c r="E771" s="1"/>
      <c r="F771" s="1"/>
      <c r="G771" s="1"/>
      <c r="H771" s="1"/>
    </row>
    <row r="772" spans="4:8">
      <c r="D772" s="8"/>
      <c r="E772" s="1"/>
      <c r="F772" s="1"/>
      <c r="G772" s="1"/>
      <c r="H772" s="1"/>
    </row>
    <row r="773" spans="4:8">
      <c r="D773" s="8"/>
      <c r="E773" s="1"/>
      <c r="F773" s="1"/>
      <c r="G773" s="1"/>
      <c r="H773" s="1"/>
    </row>
    <row r="774" spans="4:8">
      <c r="D774" s="8"/>
      <c r="E774" s="1"/>
      <c r="F774" s="1"/>
      <c r="G774" s="1"/>
      <c r="H774" s="1"/>
    </row>
    <row r="775" spans="4:8">
      <c r="D775" s="8"/>
      <c r="E775" s="1"/>
      <c r="F775" s="1"/>
      <c r="G775" s="1"/>
      <c r="H775" s="1"/>
    </row>
    <row r="776" spans="4:8">
      <c r="D776" s="8"/>
      <c r="E776" s="1"/>
      <c r="F776" s="1"/>
      <c r="G776" s="1"/>
      <c r="H776" s="1"/>
    </row>
    <row r="777" spans="4:8">
      <c r="D777" s="8"/>
      <c r="E777" s="1"/>
      <c r="F777" s="1"/>
      <c r="G777" s="1"/>
      <c r="H777" s="1"/>
    </row>
    <row r="778" spans="4:8">
      <c r="D778" s="8"/>
      <c r="E778" s="1"/>
      <c r="F778" s="1"/>
      <c r="G778" s="1"/>
      <c r="H778" s="1"/>
    </row>
    <row r="779" spans="4:8">
      <c r="D779" s="8"/>
      <c r="E779" s="1"/>
      <c r="F779" s="1"/>
      <c r="G779" s="1"/>
      <c r="H779" s="1"/>
    </row>
    <row r="780" spans="4:8">
      <c r="D780" s="8"/>
      <c r="E780" s="1"/>
      <c r="F780" s="1"/>
      <c r="G780" s="1"/>
      <c r="H780" s="1"/>
    </row>
    <row r="781" spans="4:8">
      <c r="D781" s="8"/>
      <c r="E781" s="1"/>
      <c r="H781" s="1"/>
    </row>
    <row r="782" spans="4:8">
      <c r="D782" s="8"/>
      <c r="E782" s="1"/>
      <c r="F782" s="1"/>
      <c r="G782" s="1"/>
      <c r="H782" s="1"/>
    </row>
    <row r="783" spans="4:8">
      <c r="D783" s="8"/>
      <c r="E783" s="1"/>
      <c r="F783" s="1"/>
      <c r="G783" s="1"/>
      <c r="H783" s="1"/>
    </row>
    <row r="784" spans="4:8">
      <c r="D784" s="8"/>
      <c r="E784" s="1"/>
      <c r="F784" s="1"/>
      <c r="G784" s="1"/>
      <c r="H784" s="1"/>
    </row>
    <row r="785" spans="1:8">
      <c r="D785" s="8"/>
      <c r="E785" s="1"/>
      <c r="F785" s="1"/>
      <c r="G785" s="1"/>
      <c r="H785" s="1"/>
    </row>
    <row r="786" spans="1:8">
      <c r="D786" s="8"/>
      <c r="E786" s="1"/>
      <c r="F786" s="1"/>
      <c r="G786" s="1"/>
      <c r="H786" s="1"/>
    </row>
    <row r="787" spans="1:8">
      <c r="B787" s="2"/>
      <c r="D787" s="8"/>
      <c r="E787" s="1"/>
      <c r="F787" s="1"/>
      <c r="G787" s="1"/>
      <c r="H787" s="1"/>
    </row>
    <row r="788" spans="1:8">
      <c r="B788" s="2"/>
      <c r="D788" s="8"/>
      <c r="E788" s="1"/>
      <c r="F788" s="1"/>
      <c r="G788" s="1"/>
      <c r="H788" s="1"/>
    </row>
    <row r="789" spans="1:8">
      <c r="D789" s="8"/>
      <c r="E789" s="1"/>
      <c r="F789" s="1"/>
      <c r="G789" s="1"/>
      <c r="H789" s="1"/>
    </row>
    <row r="790" spans="1:8">
      <c r="D790" s="8"/>
      <c r="E790" s="1"/>
      <c r="F790" s="1"/>
      <c r="G790" s="1"/>
      <c r="H790" s="1"/>
    </row>
    <row r="791" spans="1:8">
      <c r="D791" s="8"/>
      <c r="E791" s="1"/>
      <c r="F791" s="1"/>
      <c r="G791" s="1"/>
      <c r="H791" s="1"/>
    </row>
    <row r="792" spans="1:8">
      <c r="D792" s="8"/>
      <c r="E792" s="1"/>
      <c r="F792" s="1"/>
      <c r="G792" s="1"/>
      <c r="H792" s="1"/>
    </row>
    <row r="793" spans="1:8">
      <c r="D793" s="8"/>
      <c r="E793" s="1"/>
      <c r="F793" s="1"/>
      <c r="G793" s="1"/>
      <c r="H793" s="1"/>
    </row>
    <row r="794" spans="1:8">
      <c r="D794" s="8"/>
      <c r="E794" s="1"/>
      <c r="F794" s="1"/>
      <c r="G794" s="1"/>
      <c r="H794" s="1"/>
    </row>
    <row r="795" spans="1:8">
      <c r="A795" s="2"/>
      <c r="D795" s="8"/>
      <c r="E795" s="1"/>
      <c r="F795" s="1"/>
      <c r="G795" s="1"/>
      <c r="H795" s="1"/>
    </row>
    <row r="796" spans="1:8">
      <c r="D796" s="8"/>
      <c r="E796" s="1"/>
      <c r="F796" s="1"/>
      <c r="G796" s="1"/>
      <c r="H796" s="1"/>
    </row>
    <row r="797" spans="1:8">
      <c r="D797" s="8"/>
      <c r="E797" s="1"/>
      <c r="F797" s="1"/>
      <c r="G797" s="1"/>
      <c r="H797" s="1"/>
    </row>
    <row r="798" spans="1:8">
      <c r="D798" s="8"/>
      <c r="E798" s="1"/>
      <c r="F798" s="1"/>
      <c r="G798" s="1"/>
      <c r="H798" s="1"/>
    </row>
    <row r="799" spans="1:8">
      <c r="D799" s="8"/>
      <c r="E799" s="1"/>
      <c r="F799" s="1"/>
      <c r="G799" s="1"/>
      <c r="H799" s="1"/>
    </row>
    <row r="800" spans="1:8">
      <c r="D800" s="8"/>
      <c r="E800" s="1"/>
      <c r="F800" s="1"/>
      <c r="G800" s="1"/>
      <c r="H800" s="1"/>
    </row>
    <row r="801" spans="1:8">
      <c r="D801" s="8"/>
      <c r="E801" s="1"/>
      <c r="F801" s="1"/>
      <c r="G801" s="1"/>
      <c r="H801" s="1"/>
    </row>
    <row r="802" spans="1:8">
      <c r="D802" s="8"/>
      <c r="E802" s="1"/>
      <c r="F802" s="1"/>
      <c r="G802" s="1"/>
      <c r="H802" s="1"/>
    </row>
    <row r="803" spans="1:8">
      <c r="D803" s="8"/>
      <c r="E803" s="1"/>
      <c r="F803" s="1"/>
      <c r="G803" s="1"/>
      <c r="H803" s="1"/>
    </row>
    <row r="804" spans="1:8">
      <c r="B804" s="2"/>
      <c r="D804" s="8"/>
      <c r="E804" s="1"/>
      <c r="F804" s="1"/>
      <c r="G804" s="1"/>
      <c r="H804" s="1"/>
    </row>
    <row r="805" spans="1:8">
      <c r="D805" s="8"/>
      <c r="E805" s="1"/>
      <c r="F805" s="1"/>
      <c r="G805" s="1"/>
      <c r="H805" s="1"/>
    </row>
    <row r="806" spans="1:8">
      <c r="D806" s="8"/>
      <c r="E806" s="1"/>
      <c r="F806" s="1"/>
      <c r="G806" s="1"/>
      <c r="H806" s="1"/>
    </row>
    <row r="807" spans="1:8">
      <c r="D807" s="8"/>
      <c r="E807" s="1"/>
      <c r="F807" s="1"/>
      <c r="G807" s="1"/>
      <c r="H807" s="1"/>
    </row>
    <row r="808" spans="1:8">
      <c r="D808" s="8"/>
      <c r="E808" s="1"/>
      <c r="F808" s="1"/>
      <c r="G808" s="1"/>
      <c r="H808" s="1"/>
    </row>
    <row r="809" spans="1:8">
      <c r="D809" s="8"/>
      <c r="E809" s="1"/>
      <c r="F809" s="1"/>
      <c r="G809" s="1"/>
      <c r="H809" s="1"/>
    </row>
    <row r="810" spans="1:8">
      <c r="A810" s="2"/>
      <c r="D810" s="8"/>
      <c r="E810" s="1"/>
      <c r="F810" s="1"/>
      <c r="G810" s="1"/>
      <c r="H810" s="1"/>
    </row>
    <row r="811" spans="1:8">
      <c r="D811" s="8"/>
      <c r="E811" s="1"/>
      <c r="F811" s="1"/>
      <c r="G811" s="1"/>
      <c r="H811" s="1"/>
    </row>
    <row r="812" spans="1:8">
      <c r="D812" s="8"/>
      <c r="E812" s="1"/>
      <c r="F812" s="1"/>
      <c r="G812" s="1"/>
      <c r="H812" s="1"/>
    </row>
    <row r="813" spans="1:8">
      <c r="D813" s="8"/>
      <c r="E813" s="1"/>
      <c r="F813" s="1"/>
      <c r="G813" s="1"/>
      <c r="H813" s="1"/>
    </row>
    <row r="814" spans="1:8">
      <c r="D814" s="8"/>
      <c r="E814" s="1"/>
      <c r="F814" s="1"/>
      <c r="G814" s="1"/>
      <c r="H814" s="1"/>
    </row>
    <row r="815" spans="1:8">
      <c r="D815" s="8"/>
      <c r="E815" s="1"/>
      <c r="F815" s="1"/>
      <c r="G815" s="1"/>
      <c r="H815" s="1"/>
    </row>
    <row r="816" spans="1:8">
      <c r="D816" s="8"/>
      <c r="E816" s="1"/>
      <c r="F816" s="1"/>
      <c r="G816" s="1"/>
      <c r="H816" s="1"/>
    </row>
    <row r="817" spans="2:8">
      <c r="D817" s="8"/>
      <c r="E817" s="1"/>
      <c r="F817" s="1"/>
      <c r="G817" s="1"/>
      <c r="H817" s="1"/>
    </row>
    <row r="818" spans="2:8">
      <c r="D818" s="8"/>
      <c r="E818" s="1"/>
      <c r="F818" s="1"/>
      <c r="G818" s="1"/>
      <c r="H818" s="1"/>
    </row>
    <row r="819" spans="2:8">
      <c r="D819" s="8"/>
      <c r="E819" s="1"/>
      <c r="F819" s="1"/>
      <c r="G819" s="1"/>
      <c r="H819" s="1"/>
    </row>
    <row r="820" spans="2:8">
      <c r="D820" s="8"/>
      <c r="E820" s="1"/>
      <c r="F820" s="1"/>
      <c r="G820" s="1"/>
      <c r="H820" s="1"/>
    </row>
    <row r="821" spans="2:8">
      <c r="D821" s="8"/>
      <c r="E821" s="1"/>
      <c r="F821" s="1"/>
      <c r="G821" s="1"/>
      <c r="H821" s="1"/>
    </row>
    <row r="822" spans="2:8">
      <c r="D822" s="8"/>
      <c r="E822" s="1"/>
      <c r="F822" s="1"/>
      <c r="G822" s="1"/>
      <c r="H822" s="1"/>
    </row>
    <row r="823" spans="2:8">
      <c r="D823" s="8"/>
      <c r="E823" s="1"/>
      <c r="F823" s="1"/>
      <c r="G823" s="1"/>
      <c r="H823" s="1"/>
    </row>
    <row r="824" spans="2:8">
      <c r="D824" s="8"/>
      <c r="E824" s="1"/>
      <c r="F824" s="1"/>
      <c r="G824" s="1"/>
      <c r="H824" s="1"/>
    </row>
    <row r="825" spans="2:8">
      <c r="D825" s="8"/>
      <c r="E825" s="1"/>
      <c r="F825" s="1"/>
      <c r="G825" s="1"/>
      <c r="H825" s="1"/>
    </row>
    <row r="826" spans="2:8">
      <c r="D826" s="8"/>
      <c r="E826" s="1"/>
      <c r="F826" s="1"/>
      <c r="G826" s="1"/>
      <c r="H826" s="1"/>
    </row>
    <row r="827" spans="2:8">
      <c r="D827" s="8"/>
      <c r="E827" s="1"/>
      <c r="F827" s="1"/>
      <c r="G827" s="1"/>
      <c r="H827" s="1"/>
    </row>
    <row r="828" spans="2:8">
      <c r="D828" s="8"/>
      <c r="E828" s="1"/>
      <c r="F828" s="1"/>
      <c r="G828" s="1"/>
      <c r="H828" s="1"/>
    </row>
    <row r="829" spans="2:8">
      <c r="D829" s="8"/>
      <c r="E829" s="1"/>
      <c r="F829" s="1"/>
      <c r="G829" s="1"/>
      <c r="H829" s="1"/>
    </row>
    <row r="830" spans="2:8">
      <c r="D830" s="8"/>
      <c r="E830" s="1"/>
      <c r="F830" s="1"/>
      <c r="G830" s="1"/>
      <c r="H830" s="1"/>
    </row>
    <row r="831" spans="2:8">
      <c r="D831" s="8"/>
      <c r="E831" s="1"/>
      <c r="F831" s="1"/>
      <c r="G831" s="1"/>
      <c r="H831" s="1"/>
    </row>
    <row r="832" spans="2:8">
      <c r="B832" s="2"/>
      <c r="D832" s="8"/>
      <c r="E832" s="1"/>
      <c r="F832" s="1"/>
      <c r="G832" s="1"/>
      <c r="H832" s="1"/>
    </row>
    <row r="833" spans="4:8">
      <c r="D833" s="8"/>
      <c r="E833" s="1"/>
      <c r="F833" s="1"/>
      <c r="G833" s="1"/>
      <c r="H833" s="1"/>
    </row>
    <row r="834" spans="4:8">
      <c r="D834" s="8"/>
      <c r="E834" s="1"/>
      <c r="F834" s="1"/>
      <c r="G834" s="1"/>
      <c r="H834" s="1"/>
    </row>
    <row r="835" spans="4:8">
      <c r="D835" s="8"/>
      <c r="E835" s="1"/>
      <c r="F835" s="1"/>
      <c r="G835" s="1"/>
      <c r="H835" s="1"/>
    </row>
    <row r="836" spans="4:8">
      <c r="D836" s="8"/>
      <c r="E836" s="1"/>
      <c r="F836" s="1"/>
      <c r="G836" s="1"/>
      <c r="H836" s="1"/>
    </row>
    <row r="837" spans="4:8">
      <c r="D837" s="8"/>
      <c r="E837" s="1"/>
      <c r="H837" s="1"/>
    </row>
    <row r="838" spans="4:8">
      <c r="D838" s="8"/>
      <c r="E838" s="1"/>
      <c r="F838" s="1"/>
      <c r="G838" s="1"/>
      <c r="H838" s="1"/>
    </row>
    <row r="839" spans="4:8">
      <c r="D839" s="8"/>
      <c r="E839" s="1"/>
      <c r="F839" s="1"/>
      <c r="G839" s="1"/>
      <c r="H839" s="1"/>
    </row>
    <row r="840" spans="4:8">
      <c r="D840" s="8"/>
      <c r="E840" s="1"/>
      <c r="F840" s="1"/>
      <c r="G840" s="1"/>
      <c r="H840" s="1"/>
    </row>
    <row r="841" spans="4:8">
      <c r="D841" s="8"/>
      <c r="E841" s="1"/>
      <c r="F841" s="1"/>
      <c r="G841" s="1"/>
      <c r="H841" s="1"/>
    </row>
    <row r="842" spans="4:8">
      <c r="D842" s="8"/>
      <c r="E842" s="1"/>
      <c r="F842" s="1"/>
      <c r="G842" s="1"/>
      <c r="H842" s="1"/>
    </row>
    <row r="843" spans="4:8">
      <c r="D843" s="8"/>
      <c r="E843" s="1"/>
      <c r="F843" s="1"/>
      <c r="G843" s="1"/>
      <c r="H843" s="1"/>
    </row>
    <row r="844" spans="4:8">
      <c r="D844" s="8"/>
      <c r="E844" s="1"/>
      <c r="F844" s="1"/>
      <c r="G844" s="1"/>
      <c r="H844" s="1"/>
    </row>
    <row r="845" spans="4:8">
      <c r="D845" s="8"/>
      <c r="E845" s="1"/>
      <c r="F845" s="1"/>
      <c r="G845" s="1"/>
      <c r="H845" s="1"/>
    </row>
    <row r="846" spans="4:8">
      <c r="D846" s="8"/>
      <c r="E846" s="1"/>
      <c r="H846" s="1"/>
    </row>
    <row r="847" spans="4:8">
      <c r="D847" s="8"/>
      <c r="E847" s="1"/>
      <c r="F847" s="1"/>
      <c r="G847" s="1"/>
      <c r="H847" s="1"/>
    </row>
    <row r="848" spans="4:8">
      <c r="D848" s="8"/>
      <c r="E848" s="1"/>
      <c r="F848" s="1"/>
      <c r="G848" s="1"/>
      <c r="H848" s="1"/>
    </row>
    <row r="849" spans="1:8">
      <c r="D849" s="8"/>
      <c r="E849" s="1"/>
      <c r="F849" s="1"/>
      <c r="G849" s="1"/>
      <c r="H849" s="1"/>
    </row>
    <row r="850" spans="1:8">
      <c r="A850" s="2"/>
      <c r="D850" s="8"/>
      <c r="E850" s="1"/>
      <c r="F850" s="1"/>
      <c r="G850" s="1"/>
      <c r="H850" s="1"/>
    </row>
    <row r="851" spans="1:8">
      <c r="D851" s="8"/>
      <c r="E851" s="1"/>
      <c r="F851" s="1"/>
      <c r="G851" s="1"/>
      <c r="H851" s="1"/>
    </row>
    <row r="852" spans="1:8">
      <c r="D852" s="8"/>
      <c r="E852" s="1"/>
      <c r="F852" s="1"/>
      <c r="G852" s="1"/>
      <c r="H852" s="1"/>
    </row>
    <row r="853" spans="1:8">
      <c r="D853" s="8"/>
      <c r="E853" s="1"/>
      <c r="F853" s="1"/>
      <c r="G853" s="1"/>
      <c r="H853" s="1"/>
    </row>
    <row r="854" spans="1:8">
      <c r="D854" s="8"/>
      <c r="E854" s="1"/>
      <c r="F854" s="1"/>
      <c r="G854" s="1"/>
      <c r="H854" s="1"/>
    </row>
    <row r="855" spans="1:8">
      <c r="D855" s="8"/>
      <c r="E855" s="1"/>
      <c r="F855" s="1"/>
      <c r="G855" s="1"/>
      <c r="H855" s="1"/>
    </row>
    <row r="856" spans="1:8">
      <c r="D856" s="8"/>
      <c r="E856" s="1"/>
      <c r="F856" s="1"/>
      <c r="G856" s="1"/>
      <c r="H856" s="1"/>
    </row>
    <row r="857" spans="1:8">
      <c r="D857" s="8"/>
      <c r="E857" s="1"/>
      <c r="F857" s="1"/>
      <c r="G857" s="1"/>
      <c r="H857" s="1"/>
    </row>
    <row r="858" spans="1:8">
      <c r="D858" s="8"/>
      <c r="E858" s="1"/>
      <c r="F858" s="1"/>
      <c r="G858" s="1"/>
      <c r="H858" s="1"/>
    </row>
    <row r="859" spans="1:8">
      <c r="D859" s="8"/>
      <c r="E859" s="1"/>
      <c r="F859" s="1"/>
      <c r="G859" s="1"/>
      <c r="H859" s="1"/>
    </row>
    <row r="860" spans="1:8">
      <c r="D860" s="8"/>
      <c r="E860" s="1"/>
      <c r="F860" s="1"/>
      <c r="G860" s="1"/>
      <c r="H860" s="1"/>
    </row>
    <row r="861" spans="1:8">
      <c r="D861" s="8"/>
      <c r="E861" s="1"/>
      <c r="F861" s="1"/>
      <c r="G861" s="1"/>
      <c r="H861" s="1"/>
    </row>
    <row r="862" spans="1:8">
      <c r="D862" s="8"/>
      <c r="E862" s="1"/>
      <c r="F862" s="1"/>
      <c r="G862" s="1"/>
      <c r="H862" s="1"/>
    </row>
    <row r="863" spans="1:8">
      <c r="D863" s="8"/>
      <c r="E863" s="1"/>
      <c r="F863" s="1"/>
      <c r="G863" s="1"/>
      <c r="H863" s="1"/>
    </row>
    <row r="864" spans="1:8">
      <c r="D864" s="8"/>
      <c r="E864" s="1"/>
      <c r="F864" s="1"/>
      <c r="G864" s="1"/>
      <c r="H864" s="1"/>
    </row>
    <row r="865" spans="4:8">
      <c r="D865" s="8"/>
      <c r="E865" s="1"/>
      <c r="F865" s="1"/>
      <c r="G865" s="1"/>
      <c r="H865" s="1"/>
    </row>
    <row r="866" spans="4:8">
      <c r="D866" s="8"/>
      <c r="E866" s="1"/>
      <c r="F866" s="1"/>
      <c r="G866" s="1"/>
      <c r="H866" s="1"/>
    </row>
    <row r="867" spans="4:8">
      <c r="D867" s="8"/>
      <c r="E867" s="1"/>
      <c r="F867" s="1"/>
      <c r="G867" s="1"/>
      <c r="H867" s="1"/>
    </row>
    <row r="868" spans="4:8">
      <c r="D868" s="8"/>
      <c r="E868" s="1"/>
      <c r="F868" s="1"/>
      <c r="G868" s="1"/>
      <c r="H868" s="1"/>
    </row>
    <row r="869" spans="4:8">
      <c r="D869" s="8"/>
      <c r="E869" s="1"/>
      <c r="F869" s="1"/>
      <c r="G869" s="1"/>
      <c r="H869" s="1"/>
    </row>
    <row r="870" spans="4:8">
      <c r="D870" s="8"/>
      <c r="E870" s="1"/>
      <c r="F870" s="1"/>
      <c r="G870" s="1"/>
      <c r="H870" s="1"/>
    </row>
    <row r="871" spans="4:8">
      <c r="D871" s="8"/>
      <c r="E871" s="1"/>
      <c r="F871" s="1"/>
      <c r="G871" s="1"/>
      <c r="H871" s="1"/>
    </row>
    <row r="872" spans="4:8">
      <c r="D872" s="8"/>
      <c r="E872" s="1"/>
      <c r="F872" s="1"/>
      <c r="G872" s="1"/>
      <c r="H872" s="1"/>
    </row>
    <row r="873" spans="4:8">
      <c r="D873" s="8"/>
      <c r="E873" s="1"/>
      <c r="F873" s="1"/>
      <c r="G873" s="1"/>
      <c r="H873" s="1"/>
    </row>
    <row r="874" spans="4:8">
      <c r="D874" s="8"/>
      <c r="E874" s="1"/>
      <c r="H874" s="1"/>
    </row>
    <row r="875" spans="4:8">
      <c r="D875" s="8"/>
      <c r="E875" s="1"/>
      <c r="F875" s="1"/>
      <c r="G875" s="1"/>
      <c r="H875" s="1"/>
    </row>
    <row r="876" spans="4:8">
      <c r="D876" s="8"/>
      <c r="E876" s="1"/>
      <c r="F876" s="1"/>
      <c r="G876" s="1"/>
      <c r="H876" s="1"/>
    </row>
    <row r="877" spans="4:8">
      <c r="D877" s="8"/>
      <c r="E877" s="1"/>
      <c r="H877" s="1"/>
    </row>
    <row r="878" spans="4:8">
      <c r="D878" s="8"/>
      <c r="E878" s="1"/>
      <c r="F878" s="1"/>
      <c r="G878" s="1"/>
      <c r="H878" s="1"/>
    </row>
    <row r="879" spans="4:8">
      <c r="D879" s="8"/>
      <c r="E879" s="1"/>
      <c r="F879" s="1"/>
      <c r="G879" s="1"/>
      <c r="H879" s="1"/>
    </row>
    <row r="880" spans="4:8">
      <c r="D880" s="8"/>
      <c r="E880" s="1"/>
      <c r="F880" s="1"/>
      <c r="G880" s="1"/>
      <c r="H880" s="1"/>
    </row>
    <row r="881" spans="1:8">
      <c r="D881" s="8"/>
      <c r="E881" s="1"/>
      <c r="F881" s="1"/>
      <c r="G881" s="1"/>
      <c r="H881" s="1"/>
    </row>
    <row r="882" spans="1:8">
      <c r="D882" s="8"/>
      <c r="E882" s="1"/>
      <c r="F882" s="1"/>
      <c r="G882" s="1"/>
      <c r="H882" s="1"/>
    </row>
    <row r="883" spans="1:8">
      <c r="D883" s="8"/>
      <c r="E883" s="1"/>
      <c r="F883" s="1"/>
      <c r="G883" s="1"/>
      <c r="H883" s="1"/>
    </row>
    <row r="884" spans="1:8">
      <c r="D884" s="8"/>
      <c r="E884" s="1"/>
      <c r="F884" s="1"/>
      <c r="G884" s="1"/>
      <c r="H884" s="1"/>
    </row>
    <row r="885" spans="1:8">
      <c r="D885" s="8"/>
      <c r="E885" s="1"/>
      <c r="F885" s="1"/>
      <c r="G885" s="1"/>
      <c r="H885" s="1"/>
    </row>
    <row r="886" spans="1:8">
      <c r="D886" s="8"/>
      <c r="E886" s="1"/>
      <c r="F886" s="1"/>
      <c r="G886" s="1"/>
      <c r="H886" s="1"/>
    </row>
    <row r="887" spans="1:8">
      <c r="D887" s="8"/>
      <c r="E887" s="1"/>
      <c r="F887" s="1"/>
      <c r="G887" s="1"/>
      <c r="H887" s="1"/>
    </row>
    <row r="888" spans="1:8">
      <c r="D888" s="8"/>
      <c r="E888" s="1"/>
      <c r="F888" s="1"/>
      <c r="G888" s="1"/>
      <c r="H888" s="1"/>
    </row>
    <row r="889" spans="1:8">
      <c r="D889" s="8"/>
      <c r="E889" s="1"/>
      <c r="F889" s="1"/>
      <c r="G889" s="1"/>
      <c r="H889" s="1"/>
    </row>
    <row r="890" spans="1:8">
      <c r="A890" s="2"/>
      <c r="D890" s="8"/>
      <c r="E890" s="1"/>
      <c r="F890" s="1"/>
      <c r="G890" s="1"/>
      <c r="H890" s="1"/>
    </row>
    <row r="891" spans="1:8">
      <c r="D891" s="8"/>
      <c r="E891" s="1"/>
      <c r="F891" s="1"/>
      <c r="G891" s="1"/>
      <c r="H891" s="1"/>
    </row>
    <row r="892" spans="1:8">
      <c r="D892" s="8"/>
      <c r="E892" s="1"/>
      <c r="F892" s="1"/>
      <c r="G892" s="1"/>
      <c r="H892" s="1"/>
    </row>
    <row r="893" spans="1:8">
      <c r="D893" s="8"/>
      <c r="E893" s="1"/>
      <c r="F893" s="1"/>
      <c r="G893" s="1"/>
      <c r="H893" s="1"/>
    </row>
    <row r="894" spans="1:8">
      <c r="D894" s="8"/>
      <c r="E894" s="1"/>
      <c r="F894" s="1"/>
      <c r="G894" s="1"/>
      <c r="H894" s="1"/>
    </row>
    <row r="895" spans="1:8">
      <c r="D895" s="8"/>
      <c r="E895" s="1"/>
      <c r="F895" s="1"/>
      <c r="G895" s="1"/>
      <c r="H895" s="1"/>
    </row>
    <row r="896" spans="1:8">
      <c r="D896" s="8"/>
      <c r="E896" s="1"/>
      <c r="F896" s="1"/>
      <c r="G896" s="1"/>
      <c r="H896" s="1"/>
    </row>
    <row r="897" spans="1:8">
      <c r="D897" s="8"/>
      <c r="E897" s="1"/>
      <c r="F897" s="1"/>
      <c r="G897" s="1"/>
      <c r="H897" s="1"/>
    </row>
    <row r="898" spans="1:8">
      <c r="D898" s="8"/>
      <c r="E898" s="1"/>
      <c r="F898" s="1"/>
      <c r="G898" s="1"/>
      <c r="H898" s="1"/>
    </row>
    <row r="899" spans="1:8">
      <c r="D899" s="8"/>
      <c r="E899" s="1"/>
      <c r="F899" s="1"/>
      <c r="G899" s="1"/>
      <c r="H899" s="1"/>
    </row>
    <row r="900" spans="1:8">
      <c r="D900" s="8"/>
      <c r="E900" s="1"/>
      <c r="F900" s="1"/>
      <c r="G900" s="1"/>
      <c r="H900" s="1"/>
    </row>
    <row r="901" spans="1:8">
      <c r="D901" s="8"/>
      <c r="E901" s="1"/>
      <c r="F901" s="1"/>
      <c r="G901" s="1"/>
      <c r="H901" s="1"/>
    </row>
    <row r="902" spans="1:8">
      <c r="D902" s="8"/>
      <c r="E902" s="1"/>
      <c r="F902" s="1"/>
      <c r="G902" s="1"/>
      <c r="H902" s="1"/>
    </row>
    <row r="903" spans="1:8">
      <c r="D903" s="8"/>
      <c r="E903" s="1"/>
      <c r="F903" s="1"/>
      <c r="G903" s="1"/>
      <c r="H903" s="1"/>
    </row>
    <row r="904" spans="1:8">
      <c r="D904" s="8"/>
      <c r="E904" s="1"/>
      <c r="F904" s="1"/>
      <c r="G904" s="1"/>
      <c r="H904" s="1"/>
    </row>
    <row r="905" spans="1:8">
      <c r="D905" s="8"/>
      <c r="E905" s="1"/>
      <c r="F905" s="1"/>
      <c r="G905" s="1"/>
      <c r="H905" s="1"/>
    </row>
    <row r="906" spans="1:8">
      <c r="D906" s="8"/>
      <c r="E906" s="1"/>
      <c r="F906" s="1"/>
      <c r="G906" s="1"/>
      <c r="H906" s="1"/>
    </row>
    <row r="907" spans="1:8">
      <c r="D907" s="8"/>
      <c r="E907" s="1"/>
      <c r="F907" s="1"/>
      <c r="G907" s="1"/>
      <c r="H907" s="1"/>
    </row>
    <row r="908" spans="1:8">
      <c r="D908" s="8"/>
      <c r="E908" s="1"/>
      <c r="F908" s="1"/>
      <c r="G908" s="1"/>
      <c r="H908" s="1"/>
    </row>
    <row r="909" spans="1:8">
      <c r="D909" s="8"/>
      <c r="E909" s="1"/>
      <c r="F909" s="1"/>
      <c r="G909" s="1"/>
      <c r="H909" s="1"/>
    </row>
    <row r="910" spans="1:8">
      <c r="D910" s="8"/>
      <c r="E910" s="1"/>
      <c r="H910" s="1"/>
    </row>
    <row r="911" spans="1:8">
      <c r="D911" s="8"/>
      <c r="E911" s="1"/>
      <c r="F911" s="1"/>
      <c r="G911" s="1"/>
      <c r="H911" s="1"/>
    </row>
    <row r="912" spans="1:8">
      <c r="A912" s="2"/>
      <c r="D912" s="8"/>
      <c r="E912" s="1"/>
      <c r="F912" s="1"/>
      <c r="G912" s="1"/>
      <c r="H912" s="1"/>
    </row>
    <row r="913" spans="1:8">
      <c r="A913" s="2"/>
      <c r="D913" s="8"/>
      <c r="E913" s="1"/>
      <c r="F913" s="1"/>
      <c r="G913" s="1"/>
      <c r="H913" s="1"/>
    </row>
    <row r="914" spans="1:8">
      <c r="D914" s="8"/>
      <c r="E914" s="1"/>
      <c r="F914" s="1"/>
      <c r="G914" s="1"/>
      <c r="H914" s="1"/>
    </row>
    <row r="915" spans="1:8">
      <c r="D915" s="8"/>
      <c r="E915" s="1"/>
      <c r="F915" s="1"/>
      <c r="G915" s="1"/>
      <c r="H915" s="1"/>
    </row>
    <row r="916" spans="1:8">
      <c r="D916" s="8"/>
      <c r="E916" s="1"/>
      <c r="F916" s="1"/>
      <c r="G916" s="1"/>
      <c r="H916" s="1"/>
    </row>
    <row r="917" spans="1:8">
      <c r="D917" s="8"/>
      <c r="E917" s="1"/>
      <c r="F917" s="1"/>
      <c r="G917" s="1"/>
      <c r="H917" s="1"/>
    </row>
    <row r="918" spans="1:8">
      <c r="D918" s="8"/>
      <c r="E918" s="1"/>
      <c r="F918" s="1"/>
      <c r="H918" s="1"/>
    </row>
    <row r="919" spans="1:8">
      <c r="D919" s="8"/>
      <c r="E919" s="1"/>
      <c r="F919" s="1"/>
      <c r="G919" s="1"/>
      <c r="H919" s="1"/>
    </row>
    <row r="920" spans="1:8">
      <c r="D920" s="8"/>
      <c r="E920" s="1"/>
      <c r="F920" s="1"/>
      <c r="G920" s="1"/>
      <c r="H920" s="1"/>
    </row>
    <row r="921" spans="1:8">
      <c r="D921" s="8"/>
      <c r="E921" s="1"/>
      <c r="F921" s="1"/>
      <c r="G921" s="1"/>
      <c r="H921" s="1"/>
    </row>
    <row r="922" spans="1:8">
      <c r="D922" s="8"/>
      <c r="E922" s="1"/>
      <c r="F922" s="1"/>
      <c r="G922" s="1"/>
      <c r="H922" s="1"/>
    </row>
    <row r="923" spans="1:8">
      <c r="D923" s="8"/>
      <c r="E923" s="1"/>
      <c r="F923" s="1"/>
      <c r="G923" s="1"/>
      <c r="H923" s="1"/>
    </row>
    <row r="924" spans="1:8">
      <c r="D924" s="8"/>
      <c r="E924" s="1"/>
      <c r="F924" s="1"/>
      <c r="G924" s="1"/>
      <c r="H924" s="1"/>
    </row>
    <row r="925" spans="1:8">
      <c r="D925" s="8"/>
      <c r="E925" s="1"/>
      <c r="F925" s="1"/>
      <c r="G925" s="1"/>
      <c r="H925" s="1"/>
    </row>
    <row r="926" spans="1:8">
      <c r="D926" s="8"/>
      <c r="E926" s="1"/>
      <c r="F926" s="1"/>
      <c r="G926" s="1"/>
      <c r="H926" s="1"/>
    </row>
    <row r="927" spans="1:8">
      <c r="D927" s="8"/>
      <c r="E927" s="1"/>
      <c r="F927" s="1"/>
      <c r="G927" s="1"/>
      <c r="H927" s="1"/>
    </row>
    <row r="928" spans="1:8">
      <c r="D928" s="8"/>
      <c r="E928" s="1"/>
      <c r="F928" s="1"/>
      <c r="G928" s="1"/>
      <c r="H928" s="1"/>
    </row>
    <row r="929" spans="1:8">
      <c r="D929" s="8"/>
      <c r="E929" s="1"/>
      <c r="F929" s="1"/>
      <c r="G929" s="1"/>
      <c r="H929" s="1"/>
    </row>
    <row r="930" spans="1:8">
      <c r="D930" s="8"/>
      <c r="E930" s="1"/>
      <c r="H930" s="1"/>
    </row>
    <row r="931" spans="1:8">
      <c r="D931" s="8"/>
      <c r="E931" s="1"/>
      <c r="F931" s="1"/>
      <c r="G931" s="1"/>
      <c r="H931" s="1"/>
    </row>
    <row r="932" spans="1:8">
      <c r="D932" s="8"/>
      <c r="E932" s="1"/>
      <c r="F932" s="1"/>
      <c r="G932" s="1"/>
      <c r="H932" s="1"/>
    </row>
    <row r="933" spans="1:8">
      <c r="D933" s="8"/>
      <c r="E933" s="1"/>
      <c r="F933" s="1"/>
      <c r="G933" s="1"/>
      <c r="H933" s="1"/>
    </row>
    <row r="934" spans="1:8">
      <c r="D934" s="8"/>
      <c r="E934" s="1"/>
      <c r="F934" s="1"/>
      <c r="G934" s="1"/>
      <c r="H934" s="1"/>
    </row>
    <row r="935" spans="1:8">
      <c r="D935" s="8"/>
      <c r="E935" s="1"/>
      <c r="F935" s="1"/>
      <c r="G935" s="1"/>
      <c r="H935" s="1"/>
    </row>
    <row r="936" spans="1:8">
      <c r="D936" s="8"/>
      <c r="E936" s="1"/>
      <c r="F936" s="1"/>
      <c r="G936" s="1"/>
      <c r="H936" s="1"/>
    </row>
    <row r="937" spans="1:8">
      <c r="A937" s="2"/>
      <c r="D937" s="8"/>
      <c r="E937" s="1"/>
      <c r="F937" s="1"/>
      <c r="G937" s="1"/>
      <c r="H937" s="1"/>
    </row>
    <row r="938" spans="1:8">
      <c r="D938" s="8"/>
      <c r="E938" s="1"/>
      <c r="F938" s="1"/>
      <c r="G938" s="1"/>
      <c r="H938" s="1"/>
    </row>
    <row r="939" spans="1:8">
      <c r="D939" s="8"/>
      <c r="E939" s="1"/>
      <c r="F939" s="1"/>
      <c r="G939" s="1"/>
      <c r="H939" s="1"/>
    </row>
    <row r="940" spans="1:8">
      <c r="D940" s="8"/>
      <c r="E940" s="1"/>
      <c r="F940" s="1"/>
      <c r="G940" s="1"/>
      <c r="H940" s="1"/>
    </row>
    <row r="941" spans="1:8">
      <c r="D941" s="8"/>
      <c r="E941" s="1"/>
      <c r="F941" s="1"/>
      <c r="G941" s="1"/>
      <c r="H941" s="1"/>
    </row>
    <row r="942" spans="1:8">
      <c r="D942" s="8"/>
      <c r="E942" s="1"/>
      <c r="F942" s="1"/>
      <c r="G942" s="1"/>
      <c r="H942" s="1"/>
    </row>
    <row r="943" spans="1:8">
      <c r="D943" s="8"/>
      <c r="E943" s="1"/>
      <c r="F943" s="1"/>
      <c r="G943" s="1"/>
      <c r="H943" s="1"/>
    </row>
    <row r="944" spans="1:8">
      <c r="D944" s="8"/>
      <c r="E944" s="1"/>
      <c r="F944" s="1"/>
      <c r="G944" s="1"/>
      <c r="H944" s="1"/>
    </row>
    <row r="945" spans="4:8">
      <c r="D945" s="8"/>
      <c r="E945" s="1"/>
      <c r="F945" s="1"/>
      <c r="G945" s="1"/>
      <c r="H945" s="1"/>
    </row>
    <row r="946" spans="4:8">
      <c r="D946" s="8"/>
      <c r="E946" s="1"/>
      <c r="F946" s="1"/>
      <c r="G946" s="1"/>
      <c r="H946" s="1"/>
    </row>
    <row r="947" spans="4:8">
      <c r="D947" s="8"/>
      <c r="E947" s="1"/>
      <c r="F947" s="1"/>
      <c r="G947" s="1"/>
      <c r="H947" s="1"/>
    </row>
    <row r="948" spans="4:8">
      <c r="D948" s="8"/>
      <c r="E948" s="1"/>
      <c r="F948" s="1"/>
      <c r="G948" s="1"/>
      <c r="H948" s="1"/>
    </row>
    <row r="949" spans="4:8">
      <c r="D949" s="8"/>
      <c r="E949" s="1"/>
      <c r="F949" s="1"/>
      <c r="G949" s="1"/>
      <c r="H949" s="1"/>
    </row>
    <row r="950" spans="4:8">
      <c r="D950" s="8"/>
      <c r="E950" s="1"/>
      <c r="F950" s="1"/>
      <c r="G950" s="1"/>
      <c r="H950" s="1"/>
    </row>
    <row r="951" spans="4:8">
      <c r="D951" s="8"/>
      <c r="E951" s="1"/>
      <c r="F951" s="1"/>
      <c r="G951" s="1"/>
      <c r="H951" s="1"/>
    </row>
    <row r="952" spans="4:8">
      <c r="D952" s="8"/>
      <c r="E952" s="1"/>
      <c r="F952" s="1"/>
      <c r="G952" s="1"/>
      <c r="H952" s="1"/>
    </row>
    <row r="953" spans="4:8">
      <c r="D953" s="8"/>
      <c r="E953" s="1"/>
      <c r="F953" s="1"/>
      <c r="G953" s="1"/>
      <c r="H953" s="1"/>
    </row>
    <row r="954" spans="4:8">
      <c r="D954" s="8"/>
      <c r="E954" s="1"/>
      <c r="F954" s="1"/>
      <c r="G954" s="1"/>
      <c r="H954" s="1"/>
    </row>
    <row r="955" spans="4:8">
      <c r="D955" s="8"/>
      <c r="E955" s="1"/>
      <c r="F955" s="1"/>
      <c r="G955" s="1"/>
      <c r="H955" s="1"/>
    </row>
    <row r="956" spans="4:8">
      <c r="D956" s="8"/>
      <c r="E956" s="1"/>
      <c r="F956" s="1"/>
      <c r="G956" s="1"/>
      <c r="H956" s="1"/>
    </row>
    <row r="957" spans="4:8">
      <c r="D957" s="8"/>
      <c r="E957" s="1"/>
      <c r="F957" s="1"/>
      <c r="G957" s="1"/>
      <c r="H957" s="1"/>
    </row>
    <row r="958" spans="4:8">
      <c r="D958" s="8"/>
      <c r="E958" s="1"/>
      <c r="F958" s="1"/>
      <c r="G958" s="1"/>
      <c r="H958" s="1"/>
    </row>
    <row r="959" spans="4:8">
      <c r="D959" s="8"/>
      <c r="E959" s="1"/>
      <c r="F959" s="1"/>
      <c r="G959" s="1"/>
      <c r="H959" s="1"/>
    </row>
    <row r="960" spans="4:8">
      <c r="D960" s="8"/>
      <c r="E960" s="1"/>
      <c r="F960" s="1"/>
      <c r="G960" s="1"/>
      <c r="H960" s="1"/>
    </row>
    <row r="961" spans="1:8">
      <c r="D961" s="8"/>
      <c r="E961" s="1"/>
      <c r="F961" s="1"/>
      <c r="G961" s="1"/>
      <c r="H961" s="1"/>
    </row>
    <row r="962" spans="1:8">
      <c r="D962" s="8"/>
      <c r="E962" s="1"/>
      <c r="F962" s="1"/>
      <c r="G962" s="1"/>
      <c r="H962" s="1"/>
    </row>
    <row r="963" spans="1:8">
      <c r="D963" s="8"/>
      <c r="E963" s="1"/>
      <c r="F963" s="1"/>
      <c r="G963" s="1"/>
      <c r="H963" s="1"/>
    </row>
    <row r="964" spans="1:8">
      <c r="D964" s="8"/>
      <c r="E964" s="1"/>
      <c r="F964" s="1"/>
      <c r="G964" s="1"/>
      <c r="H964" s="1"/>
    </row>
    <row r="965" spans="1:8">
      <c r="D965" s="8"/>
      <c r="E965" s="1"/>
      <c r="F965" s="1"/>
      <c r="G965" s="1"/>
      <c r="H965" s="1"/>
    </row>
    <row r="966" spans="1:8">
      <c r="D966" s="8"/>
      <c r="E966" s="1"/>
      <c r="F966" s="1"/>
      <c r="G966" s="1"/>
      <c r="H966" s="1"/>
    </row>
    <row r="967" spans="1:8">
      <c r="D967" s="8"/>
      <c r="E967" s="1"/>
      <c r="H967" s="1"/>
    </row>
    <row r="968" spans="1:8">
      <c r="D968" s="8"/>
      <c r="E968" s="1"/>
      <c r="F968" s="1"/>
      <c r="G968" s="1"/>
      <c r="H968" s="1"/>
    </row>
    <row r="969" spans="1:8">
      <c r="D969" s="8"/>
      <c r="E969" s="1"/>
      <c r="F969" s="1"/>
      <c r="G969" s="1"/>
      <c r="H969" s="1"/>
    </row>
    <row r="970" spans="1:8">
      <c r="D970" s="8"/>
      <c r="E970" s="1"/>
      <c r="F970" s="1"/>
      <c r="G970" s="1"/>
      <c r="H970" s="1"/>
    </row>
    <row r="971" spans="1:8">
      <c r="D971" s="8"/>
      <c r="E971" s="1"/>
      <c r="F971" s="1"/>
      <c r="G971" s="1"/>
      <c r="H971" s="1"/>
    </row>
    <row r="972" spans="1:8">
      <c r="A972" s="2"/>
      <c r="D972" s="8"/>
      <c r="E972" s="1"/>
      <c r="F972" s="1"/>
      <c r="G972" s="1"/>
      <c r="H972" s="1"/>
    </row>
    <row r="973" spans="1:8">
      <c r="D973" s="8"/>
      <c r="E973" s="1"/>
      <c r="F973" s="1"/>
      <c r="G973" s="1"/>
      <c r="H973" s="1"/>
    </row>
    <row r="974" spans="1:8">
      <c r="D974" s="8"/>
      <c r="E974" s="1"/>
      <c r="F974" s="1"/>
      <c r="G974" s="1"/>
      <c r="H974" s="1"/>
    </row>
    <row r="975" spans="1:8">
      <c r="D975" s="8"/>
      <c r="E975" s="1"/>
      <c r="F975" s="1"/>
      <c r="H975" s="1"/>
    </row>
    <row r="976" spans="1:8">
      <c r="D976" s="8"/>
      <c r="E976" s="1"/>
      <c r="F976" s="1"/>
      <c r="G976" s="1"/>
      <c r="H976" s="1"/>
    </row>
    <row r="977" spans="4:8">
      <c r="D977" s="8"/>
      <c r="E977" s="1"/>
      <c r="F977" s="1"/>
      <c r="G977" s="1"/>
      <c r="H977" s="1"/>
    </row>
    <row r="978" spans="4:8">
      <c r="D978" s="8"/>
      <c r="E978" s="1"/>
      <c r="F978" s="1"/>
      <c r="G978" s="1"/>
      <c r="H978" s="1"/>
    </row>
    <row r="979" spans="4:8">
      <c r="D979" s="8"/>
      <c r="E979" s="1"/>
      <c r="F979" s="1"/>
      <c r="H979" s="1"/>
    </row>
    <row r="980" spans="4:8">
      <c r="D980" s="8"/>
      <c r="E980" s="1"/>
      <c r="F980" s="1"/>
      <c r="G980" s="1"/>
      <c r="H980" s="1"/>
    </row>
    <row r="981" spans="4:8">
      <c r="D981" s="8"/>
      <c r="E981" s="1"/>
      <c r="F981" s="1"/>
      <c r="G981" s="1"/>
      <c r="H981" s="1"/>
    </row>
    <row r="982" spans="4:8">
      <c r="D982" s="8"/>
      <c r="E982" s="1"/>
      <c r="F982" s="1"/>
      <c r="G982" s="1"/>
      <c r="H982" s="1"/>
    </row>
    <row r="983" spans="4:8">
      <c r="D983" s="8"/>
      <c r="E983" s="1"/>
      <c r="F983" s="1"/>
      <c r="G983" s="1"/>
      <c r="H983" s="1"/>
    </row>
    <row r="984" spans="4:8">
      <c r="D984" s="8"/>
      <c r="E984" s="1"/>
      <c r="F984" s="1"/>
      <c r="G984" s="1"/>
      <c r="H984" s="1"/>
    </row>
    <row r="985" spans="4:8">
      <c r="D985" s="8"/>
      <c r="E985" s="1"/>
      <c r="F985" s="1"/>
      <c r="G985" s="1"/>
      <c r="H985" s="1"/>
    </row>
    <row r="986" spans="4:8">
      <c r="D986" s="8"/>
      <c r="E986" s="1"/>
      <c r="F986" s="1"/>
      <c r="H986" s="1"/>
    </row>
    <row r="987" spans="4:8">
      <c r="D987" s="8"/>
      <c r="E987" s="1"/>
      <c r="F987" s="1"/>
      <c r="G987" s="1"/>
      <c r="H987" s="1"/>
    </row>
    <row r="988" spans="4:8">
      <c r="D988" s="8"/>
      <c r="E988" s="1"/>
      <c r="F988" s="1"/>
      <c r="G988" s="1"/>
      <c r="H988" s="1"/>
    </row>
    <row r="989" spans="4:8">
      <c r="D989" s="8"/>
      <c r="E989" s="1"/>
      <c r="F989" s="1"/>
      <c r="G989" s="1"/>
      <c r="H989" s="1"/>
    </row>
    <row r="990" spans="4:8">
      <c r="D990" s="8"/>
      <c r="E990" s="1"/>
      <c r="F990" s="1"/>
      <c r="G990" s="1"/>
      <c r="H990" s="1"/>
    </row>
    <row r="991" spans="4:8">
      <c r="D991" s="8"/>
      <c r="E991" s="1"/>
      <c r="F991" s="1"/>
      <c r="G991" s="1"/>
      <c r="H991" s="1"/>
    </row>
    <row r="992" spans="4:8">
      <c r="D992" s="8"/>
      <c r="E992" s="1"/>
      <c r="F992" s="1"/>
      <c r="G992" s="1"/>
      <c r="H992" s="1"/>
    </row>
    <row r="993" spans="4:8">
      <c r="D993" s="8"/>
      <c r="E993" s="1"/>
      <c r="F993" s="1"/>
      <c r="G993" s="1"/>
      <c r="H993" s="1"/>
    </row>
    <row r="994" spans="4:8">
      <c r="D994" s="8"/>
      <c r="E994" s="1"/>
      <c r="F994" s="1"/>
      <c r="G994" s="1"/>
      <c r="H994" s="1"/>
    </row>
    <row r="995" spans="4:8">
      <c r="D995" s="8"/>
      <c r="E995" s="1"/>
      <c r="F995" s="1"/>
      <c r="G995" s="1"/>
      <c r="H995" s="1"/>
    </row>
    <row r="996" spans="4:8">
      <c r="D996" s="8"/>
      <c r="E996" s="1"/>
      <c r="F996" s="1"/>
      <c r="G996" s="1"/>
      <c r="H996" s="1"/>
    </row>
    <row r="997" spans="4:8">
      <c r="D997" s="8"/>
      <c r="E997" s="1"/>
      <c r="F997" s="1"/>
      <c r="G997" s="1"/>
      <c r="H997" s="1"/>
    </row>
    <row r="998" spans="4:8">
      <c r="D998" s="8"/>
      <c r="E998" s="1"/>
      <c r="F998" s="1"/>
      <c r="G998" s="1"/>
      <c r="H998" s="1"/>
    </row>
    <row r="999" spans="4:8">
      <c r="D999" s="8"/>
      <c r="E999" s="1"/>
      <c r="F999" s="1"/>
      <c r="G999" s="1"/>
      <c r="H999" s="1"/>
    </row>
    <row r="1000" spans="4:8">
      <c r="D1000" s="8"/>
      <c r="E1000" s="1"/>
      <c r="F1000" s="1"/>
      <c r="G1000" s="1"/>
      <c r="H1000" s="1"/>
    </row>
    <row r="1001" spans="4:8">
      <c r="D1001" s="8"/>
      <c r="E1001" s="1"/>
      <c r="F1001" s="1"/>
      <c r="G1001" s="1"/>
      <c r="H1001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1A4F-7E77-418D-AAE4-70F62F1BA081}">
  <dimension ref="A3:I78"/>
  <sheetViews>
    <sheetView topLeftCell="B1" workbookViewId="0">
      <selection activeCell="Q30" sqref="Q30"/>
    </sheetView>
  </sheetViews>
  <sheetFormatPr defaultRowHeight="14.4"/>
  <cols>
    <col min="1" max="1" width="41.33203125" bestFit="1" customWidth="1"/>
    <col min="2" max="2" width="18.88671875" bestFit="1" customWidth="1"/>
    <col min="3" max="3" width="33.77734375" bestFit="1" customWidth="1"/>
    <col min="4" max="4" width="15.5546875" bestFit="1" customWidth="1"/>
  </cols>
  <sheetData>
    <row r="3" spans="1:9">
      <c r="A3" s="4" t="s">
        <v>943</v>
      </c>
      <c r="B3" t="s">
        <v>1300</v>
      </c>
      <c r="C3" t="s">
        <v>1301</v>
      </c>
      <c r="G3" s="7" t="s">
        <v>943</v>
      </c>
      <c r="H3" s="7" t="s">
        <v>1304</v>
      </c>
      <c r="I3" s="7" t="s">
        <v>1303</v>
      </c>
    </row>
    <row r="4" spans="1:9">
      <c r="A4" s="5" t="s">
        <v>1226</v>
      </c>
      <c r="B4" s="6">
        <v>1.836812710370999E-3</v>
      </c>
      <c r="C4" s="6">
        <v>5.3824830427396395E-3</v>
      </c>
      <c r="G4" s="5" t="s">
        <v>1226</v>
      </c>
      <c r="H4" s="6">
        <v>1.836812710370999E-3</v>
      </c>
      <c r="I4" s="6">
        <v>5.3824830427396395E-3</v>
      </c>
    </row>
    <row r="5" spans="1:9">
      <c r="A5" s="5" t="s">
        <v>1227</v>
      </c>
      <c r="B5" s="6">
        <v>4.4848066684692912E-3</v>
      </c>
      <c r="C5" s="6">
        <v>2.1756959383873848E-3</v>
      </c>
      <c r="G5" s="5" t="s">
        <v>1227</v>
      </c>
      <c r="H5" s="6">
        <v>4.4848066684692912E-3</v>
      </c>
      <c r="I5" s="6">
        <v>2.1756959383873848E-3</v>
      </c>
    </row>
    <row r="6" spans="1:9">
      <c r="A6" s="5" t="s">
        <v>1228</v>
      </c>
      <c r="B6" s="6">
        <v>2.498811199895572E-3</v>
      </c>
      <c r="C6" s="6">
        <v>1.1284057322059953E-3</v>
      </c>
      <c r="G6" s="5" t="s">
        <v>1228</v>
      </c>
      <c r="H6" s="6">
        <v>2.498811199895572E-3</v>
      </c>
      <c r="I6" s="6">
        <v>1.1284057322059953E-3</v>
      </c>
    </row>
    <row r="7" spans="1:9">
      <c r="A7" s="5" t="s">
        <v>1229</v>
      </c>
      <c r="B7" s="6">
        <v>1.846136632758669E-3</v>
      </c>
      <c r="C7" s="6">
        <v>1.8235763992790368E-3</v>
      </c>
      <c r="G7" s="5" t="s">
        <v>1229</v>
      </c>
      <c r="H7" s="6">
        <v>1.846136632758669E-3</v>
      </c>
      <c r="I7" s="6">
        <v>1.8235763992790368E-3</v>
      </c>
    </row>
    <row r="8" spans="1:9">
      <c r="A8" s="5" t="s">
        <v>1230</v>
      </c>
      <c r="B8" s="6">
        <v>2.2377413730408107E-4</v>
      </c>
      <c r="C8" s="6">
        <v>1.4266055414703584E-4</v>
      </c>
      <c r="G8" s="5" t="s">
        <v>1230</v>
      </c>
      <c r="H8" s="6">
        <v>2.2377413730408107E-4</v>
      </c>
      <c r="I8" s="6">
        <v>1.4266055414703584E-4</v>
      </c>
    </row>
    <row r="9" spans="1:9">
      <c r="A9" s="5" t="s">
        <v>1231</v>
      </c>
      <c r="B9" s="6">
        <v>3.9160474028214189E-4</v>
      </c>
      <c r="C9" s="6">
        <v>3.3454895184172425E-4</v>
      </c>
      <c r="G9" s="5" t="s">
        <v>1231</v>
      </c>
      <c r="H9" s="6">
        <v>3.9160474028214189E-4</v>
      </c>
      <c r="I9" s="6">
        <v>3.3454895184172425E-4</v>
      </c>
    </row>
    <row r="10" spans="1:9">
      <c r="A10" s="5" t="s">
        <v>1232</v>
      </c>
      <c r="B10" s="6">
        <v>1.2960252118861362E-3</v>
      </c>
      <c r="C10" s="6">
        <v>6.0626233157638233E-4</v>
      </c>
      <c r="G10" s="5" t="s">
        <v>1232</v>
      </c>
      <c r="H10" s="6">
        <v>1.2960252118861362E-3</v>
      </c>
      <c r="I10" s="6">
        <v>6.0626233157638233E-4</v>
      </c>
    </row>
    <row r="11" spans="1:9">
      <c r="A11" s="5" t="s">
        <v>1233</v>
      </c>
      <c r="B11" s="6">
        <v>3.2167532237461654E-3</v>
      </c>
      <c r="C11" s="6">
        <v>3.809600120927667E-3</v>
      </c>
      <c r="G11" s="5" t="s">
        <v>1233</v>
      </c>
      <c r="H11" s="6">
        <v>3.2167532237461654E-3</v>
      </c>
      <c r="I11" s="6">
        <v>3.809600120927667E-3</v>
      </c>
    </row>
    <row r="12" spans="1:9">
      <c r="A12" s="5" t="s">
        <v>1234</v>
      </c>
      <c r="B12" s="6">
        <v>3.721177424919115E-2</v>
      </c>
      <c r="C12" s="6">
        <v>4.2740979652772432E-2</v>
      </c>
      <c r="G12" s="5" t="s">
        <v>1234</v>
      </c>
      <c r="H12" s="6">
        <v>3.721177424919115E-2</v>
      </c>
      <c r="I12" s="6">
        <v>4.2740979652772432E-2</v>
      </c>
    </row>
    <row r="13" spans="1:9">
      <c r="A13" s="5" t="s">
        <v>1235</v>
      </c>
      <c r="B13" s="6">
        <v>2.7095318458569152E-2</v>
      </c>
      <c r="C13" s="6">
        <v>2.9982657888564253E-2</v>
      </c>
      <c r="G13" s="5" t="s">
        <v>1235</v>
      </c>
      <c r="H13" s="6">
        <v>2.7095318458569152E-2</v>
      </c>
      <c r="I13" s="6">
        <v>2.9982657888564253E-2</v>
      </c>
    </row>
    <row r="14" spans="1:9">
      <c r="A14" s="5" t="s">
        <v>1236</v>
      </c>
      <c r="B14" s="6">
        <v>3.4498512834379167E-3</v>
      </c>
      <c r="C14" s="6">
        <v>1.7351186924863321E-3</v>
      </c>
      <c r="G14" s="5" t="s">
        <v>1236</v>
      </c>
      <c r="H14" s="6">
        <v>3.4498512834379167E-3</v>
      </c>
      <c r="I14" s="6">
        <v>1.7351186924863321E-3</v>
      </c>
    </row>
    <row r="15" spans="1:9">
      <c r="A15" s="5" t="s">
        <v>1237</v>
      </c>
      <c r="B15" s="6">
        <v>8.4763778426308375E-2</v>
      </c>
      <c r="C15" s="6">
        <v>9.0257313362551231E-2</v>
      </c>
      <c r="G15" s="5" t="s">
        <v>1237</v>
      </c>
      <c r="H15" s="6">
        <v>8.4763778426308375E-2</v>
      </c>
      <c r="I15" s="6">
        <v>9.0257313362551231E-2</v>
      </c>
    </row>
    <row r="16" spans="1:9">
      <c r="A16" s="5" t="s">
        <v>1238</v>
      </c>
      <c r="B16" s="6">
        <v>3.6363297311913179E-2</v>
      </c>
      <c r="C16" s="6">
        <v>3.5780254116462601E-2</v>
      </c>
      <c r="G16" s="5" t="s">
        <v>1238</v>
      </c>
      <c r="H16" s="6">
        <v>3.6363297311913179E-2</v>
      </c>
      <c r="I16" s="6">
        <v>3.5780254116462601E-2</v>
      </c>
    </row>
    <row r="17" spans="1:9">
      <c r="A17" s="5" t="s">
        <v>1239</v>
      </c>
      <c r="B17" s="6">
        <v>0.10122982536293368</v>
      </c>
      <c r="C17" s="6">
        <v>7.949392251144162E-2</v>
      </c>
      <c r="G17" s="5" t="s">
        <v>1239</v>
      </c>
      <c r="H17" s="6">
        <v>0.10122982536293368</v>
      </c>
      <c r="I17" s="6">
        <v>7.949392251144162E-2</v>
      </c>
    </row>
    <row r="18" spans="1:9">
      <c r="A18" s="5" t="s">
        <v>1240</v>
      </c>
      <c r="B18" s="6">
        <v>3.9440191699844293E-3</v>
      </c>
      <c r="C18" s="6">
        <v>4.3620897864779353E-3</v>
      </c>
      <c r="G18" s="5" t="s">
        <v>1240</v>
      </c>
      <c r="H18" s="6">
        <v>3.9440191699844293E-3</v>
      </c>
      <c r="I18" s="6">
        <v>4.3620897864779353E-3</v>
      </c>
    </row>
    <row r="19" spans="1:9">
      <c r="A19" s="5" t="s">
        <v>1241</v>
      </c>
      <c r="B19" s="6">
        <v>2.5174590446709123E-4</v>
      </c>
      <c r="C19" s="6">
        <v>5.6746972759729357E-5</v>
      </c>
      <c r="G19" s="5" t="s">
        <v>1241</v>
      </c>
      <c r="H19" s="6">
        <v>2.5174590446709123E-4</v>
      </c>
      <c r="I19" s="6">
        <v>5.6746972759729357E-5</v>
      </c>
    </row>
    <row r="20" spans="1:9">
      <c r="A20" s="5" t="s">
        <v>1242</v>
      </c>
      <c r="B20" s="6">
        <v>5.2773400714212458E-3</v>
      </c>
      <c r="C20" s="6">
        <v>5.9906296786348314E-3</v>
      </c>
      <c r="G20" s="5" t="s">
        <v>1242</v>
      </c>
      <c r="H20" s="6">
        <v>5.2773400714212458E-3</v>
      </c>
      <c r="I20" s="6">
        <v>5.9906296786348314E-3</v>
      </c>
    </row>
    <row r="21" spans="1:9">
      <c r="A21" s="5" t="s">
        <v>1243</v>
      </c>
      <c r="B21" s="6">
        <v>1.2121099103971058E-4</v>
      </c>
      <c r="C21" s="6">
        <v>5.2298095659769703E-5</v>
      </c>
      <c r="G21" s="5" t="s">
        <v>1243</v>
      </c>
      <c r="H21" s="6">
        <v>1.2121099103971058E-4</v>
      </c>
      <c r="I21" s="6">
        <v>5.2298095659769703E-5</v>
      </c>
    </row>
    <row r="22" spans="1:9">
      <c r="A22" s="5" t="s">
        <v>1244</v>
      </c>
      <c r="B22" s="6">
        <v>6.7132241191224327E-4</v>
      </c>
      <c r="C22" s="6">
        <v>5.4260729156439043E-4</v>
      </c>
      <c r="G22" s="5" t="s">
        <v>1244</v>
      </c>
      <c r="H22" s="6">
        <v>6.7132241191224327E-4</v>
      </c>
      <c r="I22" s="6">
        <v>5.4260729156439043E-4</v>
      </c>
    </row>
    <row r="23" spans="1:9">
      <c r="A23" s="5" t="s">
        <v>1245</v>
      </c>
      <c r="B23" s="6">
        <v>2.657317880485963E-3</v>
      </c>
      <c r="C23" s="6">
        <v>4.1679034183243254E-3</v>
      </c>
      <c r="G23" s="5" t="s">
        <v>1245</v>
      </c>
      <c r="H23" s="6">
        <v>2.657317880485963E-3</v>
      </c>
      <c r="I23" s="6">
        <v>4.1679034183243254E-3</v>
      </c>
    </row>
    <row r="24" spans="1:9">
      <c r="A24" s="5" t="s">
        <v>1246</v>
      </c>
      <c r="B24" s="6">
        <v>9.9859208771946179E-3</v>
      </c>
      <c r="C24" s="6">
        <v>1.1352916219199455E-2</v>
      </c>
      <c r="G24" s="5" t="s">
        <v>1246</v>
      </c>
      <c r="H24" s="6">
        <v>9.9859208771946179E-3</v>
      </c>
      <c r="I24" s="6">
        <v>1.1352916219199455E-2</v>
      </c>
    </row>
    <row r="25" spans="1:9">
      <c r="A25" s="5" t="s">
        <v>1247</v>
      </c>
      <c r="B25" s="6">
        <v>8.3355866145770202E-3</v>
      </c>
      <c r="C25" s="6">
        <v>1.0741960428451694E-2</v>
      </c>
      <c r="G25" s="5" t="s">
        <v>1247</v>
      </c>
      <c r="H25" s="6">
        <v>8.3355866145770202E-3</v>
      </c>
      <c r="I25" s="6">
        <v>1.0741960428451694E-2</v>
      </c>
    </row>
    <row r="26" spans="1:9">
      <c r="A26" s="5" t="s">
        <v>1248</v>
      </c>
      <c r="B26" s="6">
        <v>9.0442047160399432E-4</v>
      </c>
      <c r="C26" s="6">
        <v>1.2157105215816022E-3</v>
      </c>
      <c r="G26" s="5" t="s">
        <v>1248</v>
      </c>
      <c r="H26" s="6">
        <v>9.0442047160399432E-4</v>
      </c>
      <c r="I26" s="6">
        <v>1.2157105215816022E-3</v>
      </c>
    </row>
    <row r="27" spans="1:9">
      <c r="A27" s="5" t="s">
        <v>1249</v>
      </c>
      <c r="B27" s="6">
        <v>2.6293461133229529E-3</v>
      </c>
      <c r="C27" s="6">
        <v>3.0295343090670059E-3</v>
      </c>
      <c r="G27" s="5" t="s">
        <v>1249</v>
      </c>
      <c r="H27" s="6">
        <v>2.6293461133229529E-3</v>
      </c>
      <c r="I27" s="6">
        <v>3.0295343090670059E-3</v>
      </c>
    </row>
    <row r="28" spans="1:9">
      <c r="A28" s="5" t="s">
        <v>1250</v>
      </c>
      <c r="B28" s="6">
        <v>2.1072064596134301E-3</v>
      </c>
      <c r="C28" s="6">
        <v>1.9103888787616755E-3</v>
      </c>
      <c r="G28" s="5" t="s">
        <v>1250</v>
      </c>
      <c r="H28" s="6">
        <v>2.1072064596134301E-3</v>
      </c>
      <c r="I28" s="6">
        <v>1.9103888787616755E-3</v>
      </c>
    </row>
    <row r="29" spans="1:9">
      <c r="A29" s="5" t="s">
        <v>1251</v>
      </c>
      <c r="B29" s="6">
        <v>1.6783060297806082E-3</v>
      </c>
      <c r="C29" s="6">
        <v>2.924213022345985E-3</v>
      </c>
      <c r="G29" s="5" t="s">
        <v>1251</v>
      </c>
      <c r="H29" s="6">
        <v>1.6783060297806082E-3</v>
      </c>
      <c r="I29" s="6">
        <v>2.924213022345985E-3</v>
      </c>
    </row>
    <row r="30" spans="1:9">
      <c r="A30" s="5" t="s">
        <v>1252</v>
      </c>
      <c r="B30" s="6">
        <v>3.3342346458308081E-2</v>
      </c>
      <c r="C30" s="6">
        <v>4.6250076488914035E-2</v>
      </c>
      <c r="G30" s="5" t="s">
        <v>1252</v>
      </c>
      <c r="H30" s="6">
        <v>3.3342346458308081E-2</v>
      </c>
      <c r="I30" s="6">
        <v>4.6250076488914035E-2</v>
      </c>
    </row>
    <row r="31" spans="1:9">
      <c r="A31" s="5" t="s">
        <v>1253</v>
      </c>
      <c r="B31" s="6">
        <v>5.2213965370952252E-4</v>
      </c>
      <c r="C31" s="6">
        <v>4.2797851669099254E-4</v>
      </c>
      <c r="G31" s="5" t="s">
        <v>1253</v>
      </c>
      <c r="H31" s="6">
        <v>5.2213965370952252E-4</v>
      </c>
      <c r="I31" s="6">
        <v>4.2797851669099254E-4</v>
      </c>
    </row>
    <row r="32" spans="1:9">
      <c r="A32" s="5" t="s">
        <v>1254</v>
      </c>
      <c r="B32" s="6">
        <v>7.2260398504442845E-3</v>
      </c>
      <c r="C32" s="6">
        <v>6.0134072687791007E-3</v>
      </c>
      <c r="G32" s="5" t="s">
        <v>1254</v>
      </c>
      <c r="H32" s="6">
        <v>7.2260398504442845E-3</v>
      </c>
      <c r="I32" s="6">
        <v>6.0134072687791007E-3</v>
      </c>
    </row>
    <row r="33" spans="1:9">
      <c r="A33" s="5" t="s">
        <v>1255</v>
      </c>
      <c r="B33" s="6">
        <v>2.0885586148380901E-3</v>
      </c>
      <c r="C33" s="6">
        <v>8.3665494660838009E-3</v>
      </c>
      <c r="G33" s="5" t="s">
        <v>1255</v>
      </c>
      <c r="H33" s="6">
        <v>2.0885586148380901E-3</v>
      </c>
      <c r="I33" s="6">
        <v>8.3665494660838009E-3</v>
      </c>
    </row>
    <row r="34" spans="1:9">
      <c r="A34" s="5" t="s">
        <v>1256</v>
      </c>
      <c r="B34" s="6">
        <v>2.4279493897492798E-2</v>
      </c>
      <c r="C34" s="6">
        <v>1.1556171784934224E-2</v>
      </c>
      <c r="G34" s="5" t="s">
        <v>1256</v>
      </c>
      <c r="H34" s="6">
        <v>2.4279493897492798E-2</v>
      </c>
      <c r="I34" s="6">
        <v>1.1556171784934224E-2</v>
      </c>
    </row>
    <row r="35" spans="1:9">
      <c r="A35" s="5" t="s">
        <v>1257</v>
      </c>
      <c r="B35" s="6">
        <v>6.1164930863115497E-3</v>
      </c>
      <c r="C35" s="6">
        <v>1.4553665842643736E-2</v>
      </c>
      <c r="G35" s="5" t="s">
        <v>1257</v>
      </c>
      <c r="H35" s="6">
        <v>6.1164930863115497E-3</v>
      </c>
      <c r="I35" s="6">
        <v>1.4553665842643736E-2</v>
      </c>
    </row>
    <row r="36" spans="1:9">
      <c r="A36" s="5" t="s">
        <v>1258</v>
      </c>
      <c r="B36" s="6">
        <v>7.6996951077379236E-2</v>
      </c>
      <c r="C36" s="6">
        <v>7.3432341225403777E-2</v>
      </c>
      <c r="G36" s="5" t="s">
        <v>1258</v>
      </c>
      <c r="H36" s="6">
        <v>7.6996951077379236E-2</v>
      </c>
      <c r="I36" s="6">
        <v>7.3432341225403777E-2</v>
      </c>
    </row>
    <row r="37" spans="1:9">
      <c r="A37" s="5" t="s">
        <v>1259</v>
      </c>
      <c r="B37" s="6">
        <v>1.8088409432079889E-2</v>
      </c>
      <c r="C37" s="6">
        <v>1.1361464008699088E-2</v>
      </c>
      <c r="G37" s="5" t="s">
        <v>1259</v>
      </c>
      <c r="H37" s="6">
        <v>1.8088409432079889E-2</v>
      </c>
      <c r="I37" s="6">
        <v>1.1361464008699088E-2</v>
      </c>
    </row>
    <row r="38" spans="1:9">
      <c r="A38" s="5" t="s">
        <v>1260</v>
      </c>
      <c r="B38" s="6">
        <v>2.2750370625914912E-3</v>
      </c>
      <c r="C38" s="6">
        <v>1.6546582689231603E-3</v>
      </c>
      <c r="G38" s="5" t="s">
        <v>1260</v>
      </c>
      <c r="H38" s="6">
        <v>2.2750370625914912E-3</v>
      </c>
      <c r="I38" s="6">
        <v>1.6546582689231603E-3</v>
      </c>
    </row>
    <row r="39" spans="1:9">
      <c r="A39" s="5" t="s">
        <v>1261</v>
      </c>
      <c r="B39" s="6">
        <v>2.7971767163010133E-4</v>
      </c>
      <c r="C39" s="6">
        <v>1.5245877931733761E-4</v>
      </c>
      <c r="G39" s="5" t="s">
        <v>1261</v>
      </c>
      <c r="H39" s="6">
        <v>2.7971767163010133E-4</v>
      </c>
      <c r="I39" s="6">
        <v>1.5245877931733761E-4</v>
      </c>
    </row>
    <row r="40" spans="1:9">
      <c r="A40" s="5" t="s">
        <v>1262</v>
      </c>
      <c r="B40" s="6">
        <v>4.4754827460816214E-4</v>
      </c>
      <c r="C40" s="6">
        <v>2.1860132123266497E-4</v>
      </c>
      <c r="G40" s="5" t="s">
        <v>1262</v>
      </c>
      <c r="H40" s="6">
        <v>4.4754827460816214E-4</v>
      </c>
      <c r="I40" s="6">
        <v>2.1860132123266497E-4</v>
      </c>
    </row>
    <row r="41" spans="1:9">
      <c r="A41" s="5" t="s">
        <v>1263</v>
      </c>
      <c r="B41" s="6">
        <v>7.4591379101360362E-5</v>
      </c>
      <c r="C41" s="6">
        <v>4.4815142574014684E-5</v>
      </c>
      <c r="G41" s="5" t="s">
        <v>1263</v>
      </c>
      <c r="H41" s="6">
        <v>7.4591379101360362E-5</v>
      </c>
      <c r="I41" s="6">
        <v>4.4815142574014684E-5</v>
      </c>
    </row>
    <row r="42" spans="1:9">
      <c r="A42" s="5" t="s">
        <v>1264</v>
      </c>
      <c r="B42" s="6">
        <v>1.2121099103971059E-3</v>
      </c>
      <c r="C42" s="6">
        <v>8.2913479502751694E-4</v>
      </c>
      <c r="G42" s="5" t="s">
        <v>1264</v>
      </c>
      <c r="H42" s="6">
        <v>1.2121099103971059E-3</v>
      </c>
      <c r="I42" s="6">
        <v>8.2913479502751694E-4</v>
      </c>
    </row>
    <row r="43" spans="1:9">
      <c r="A43" s="5" t="s">
        <v>1265</v>
      </c>
      <c r="B43" s="6">
        <v>1.1748142208464257E-3</v>
      </c>
      <c r="C43" s="6">
        <v>6.9975245211536142E-4</v>
      </c>
      <c r="G43" s="5" t="s">
        <v>1265</v>
      </c>
      <c r="H43" s="6">
        <v>1.1748142208464257E-3</v>
      </c>
      <c r="I43" s="6">
        <v>6.9975245211536142E-4</v>
      </c>
    </row>
    <row r="44" spans="1:9">
      <c r="A44" s="5" t="s">
        <v>1266</v>
      </c>
      <c r="B44" s="6">
        <v>3.8778193210319716E-2</v>
      </c>
      <c r="C44" s="6">
        <v>3.5665280095514104E-2</v>
      </c>
      <c r="G44" s="5" t="s">
        <v>1266</v>
      </c>
      <c r="H44" s="6">
        <v>3.8778193210319716E-2</v>
      </c>
      <c r="I44" s="6">
        <v>3.5665280095514104E-2</v>
      </c>
    </row>
    <row r="45" spans="1:9">
      <c r="A45" s="5" t="s">
        <v>1267</v>
      </c>
      <c r="B45" s="6">
        <v>2.7971767163010133E-4</v>
      </c>
      <c r="C45" s="6">
        <v>7.6208942282922086E-5</v>
      </c>
      <c r="G45" s="5" t="s">
        <v>1267</v>
      </c>
      <c r="H45" s="6">
        <v>2.7971767163010133E-4</v>
      </c>
      <c r="I45" s="6">
        <v>7.6208942282922086E-5</v>
      </c>
    </row>
    <row r="46" spans="1:9">
      <c r="A46" s="5" t="s">
        <v>1268</v>
      </c>
      <c r="B46" s="6">
        <v>3.543090507314617E-4</v>
      </c>
      <c r="C46" s="6">
        <v>1.1958490417938228E-4</v>
      </c>
      <c r="G46" s="5" t="s">
        <v>1268</v>
      </c>
      <c r="H46" s="6">
        <v>3.543090507314617E-4</v>
      </c>
      <c r="I46" s="6">
        <v>1.1958490417938228E-4</v>
      </c>
    </row>
    <row r="47" spans="1:9">
      <c r="A47" s="5" t="s">
        <v>1269</v>
      </c>
      <c r="B47" s="6">
        <v>2.3403045193051814E-3</v>
      </c>
      <c r="C47" s="6">
        <v>2.7052302789118935E-3</v>
      </c>
      <c r="G47" s="5" t="s">
        <v>1269</v>
      </c>
      <c r="H47" s="6">
        <v>2.3403045193051814E-3</v>
      </c>
      <c r="I47" s="6">
        <v>2.7052302789118935E-3</v>
      </c>
    </row>
    <row r="48" spans="1:9">
      <c r="A48" s="5" t="s">
        <v>1270</v>
      </c>
      <c r="B48" s="6">
        <v>6.9295391185163771E-2</v>
      </c>
      <c r="C48" s="6">
        <v>6.7110427883546472E-2</v>
      </c>
      <c r="G48" s="5" t="s">
        <v>1270</v>
      </c>
      <c r="H48" s="6">
        <v>6.9295391185163771E-2</v>
      </c>
      <c r="I48" s="6">
        <v>6.7110427883546472E-2</v>
      </c>
    </row>
    <row r="49" spans="1:9">
      <c r="A49" s="5" t="s">
        <v>1271</v>
      </c>
      <c r="B49" s="6">
        <v>5.930014638558149E-3</v>
      </c>
      <c r="C49" s="6">
        <v>1.3848324179011785E-2</v>
      </c>
      <c r="G49" s="5" t="s">
        <v>1271</v>
      </c>
      <c r="H49" s="6">
        <v>5.930014638558149E-3</v>
      </c>
      <c r="I49" s="6">
        <v>1.3848324179011785E-2</v>
      </c>
    </row>
    <row r="50" spans="1:9">
      <c r="A50" s="5" t="s">
        <v>1272</v>
      </c>
      <c r="B50" s="6">
        <v>1.2121099103971058E-4</v>
      </c>
      <c r="C50" s="6">
        <v>1.5083793157064917E-4</v>
      </c>
      <c r="G50" s="5" t="s">
        <v>1272</v>
      </c>
      <c r="H50" s="6">
        <v>1.2121099103971058E-4</v>
      </c>
      <c r="I50" s="6">
        <v>1.5083793157064917E-4</v>
      </c>
    </row>
    <row r="51" spans="1:9">
      <c r="A51" s="5" t="s">
        <v>1273</v>
      </c>
      <c r="B51" s="6">
        <v>5.4078749848486258E-4</v>
      </c>
      <c r="C51" s="6">
        <v>3.012810715018817E-4</v>
      </c>
      <c r="G51" s="5" t="s">
        <v>1273</v>
      </c>
      <c r="H51" s="6">
        <v>5.4078749848486258E-4</v>
      </c>
      <c r="I51" s="6">
        <v>3.012810715018817E-4</v>
      </c>
    </row>
    <row r="52" spans="1:9">
      <c r="A52" s="5" t="s">
        <v>1274</v>
      </c>
      <c r="B52" s="6">
        <v>4.6899329609980328E-3</v>
      </c>
      <c r="C52" s="6">
        <v>3.4056087353001156E-3</v>
      </c>
      <c r="G52" s="5" t="s">
        <v>1274</v>
      </c>
      <c r="H52" s="6">
        <v>4.6899329609980328E-3</v>
      </c>
      <c r="I52" s="6">
        <v>3.4056087353001156E-3</v>
      </c>
    </row>
    <row r="53" spans="1:9">
      <c r="A53" s="5" t="s">
        <v>1275</v>
      </c>
      <c r="B53" s="6">
        <v>2.3682762864681915E-3</v>
      </c>
      <c r="C53" s="6">
        <v>1.4449885187041488E-3</v>
      </c>
      <c r="G53" s="5" t="s">
        <v>1275</v>
      </c>
      <c r="H53" s="6">
        <v>2.3682762864681915E-3</v>
      </c>
      <c r="I53" s="6">
        <v>1.4449885187041488E-3</v>
      </c>
    </row>
    <row r="54" spans="1:9">
      <c r="A54" s="5" t="s">
        <v>1276</v>
      </c>
      <c r="B54" s="6">
        <v>9.6502596712384967E-3</v>
      </c>
      <c r="C54" s="6">
        <v>1.0358955128277969E-2</v>
      </c>
      <c r="G54" s="5" t="s">
        <v>1276</v>
      </c>
      <c r="H54" s="6">
        <v>9.6502596712384967E-3</v>
      </c>
      <c r="I54" s="6">
        <v>1.0358955128277969E-2</v>
      </c>
    </row>
    <row r="55" spans="1:9">
      <c r="A55" s="5" t="s">
        <v>1277</v>
      </c>
      <c r="B55" s="6">
        <v>2.6106982685476128E-3</v>
      </c>
      <c r="C55" s="6">
        <v>2.0107029177373432E-3</v>
      </c>
      <c r="G55" s="5" t="s">
        <v>1277</v>
      </c>
      <c r="H55" s="6">
        <v>2.6106982685476128E-3</v>
      </c>
      <c r="I55" s="6">
        <v>2.0107029177373432E-3</v>
      </c>
    </row>
    <row r="56" spans="1:9">
      <c r="A56" s="5" t="s">
        <v>1278</v>
      </c>
      <c r="B56" s="6">
        <v>3.4498512834379167E-4</v>
      </c>
      <c r="C56" s="6">
        <v>3.2393990957931457E-4</v>
      </c>
      <c r="G56" s="5" t="s">
        <v>1278</v>
      </c>
      <c r="H56" s="6">
        <v>3.4498512834379167E-4</v>
      </c>
      <c r="I56" s="6">
        <v>3.2393990957931457E-4</v>
      </c>
    </row>
    <row r="57" spans="1:9">
      <c r="A57" s="5" t="s">
        <v>1279</v>
      </c>
      <c r="B57" s="6">
        <v>2.5547547342215922E-3</v>
      </c>
      <c r="C57" s="6">
        <v>3.5533268691943392E-3</v>
      </c>
      <c r="G57" s="5" t="s">
        <v>1279</v>
      </c>
      <c r="H57" s="6">
        <v>2.5547547342215922E-3</v>
      </c>
      <c r="I57" s="6">
        <v>3.5533268691943392E-3</v>
      </c>
    </row>
    <row r="58" spans="1:9">
      <c r="A58" s="5" t="s">
        <v>1280</v>
      </c>
      <c r="B58" s="6">
        <v>7.4721914014787741E-2</v>
      </c>
      <c r="C58" s="6">
        <v>5.4860704706410843E-2</v>
      </c>
      <c r="G58" s="5" t="s">
        <v>1280</v>
      </c>
      <c r="H58" s="6">
        <v>7.4721914014787741E-2</v>
      </c>
      <c r="I58" s="6">
        <v>5.4860704706410843E-2</v>
      </c>
    </row>
    <row r="59" spans="1:9">
      <c r="A59" s="5" t="s">
        <v>1281</v>
      </c>
      <c r="B59" s="6">
        <v>1.5039486811311783E-2</v>
      </c>
      <c r="C59" s="6">
        <v>2.0455778831671188E-2</v>
      </c>
      <c r="G59" s="5" t="s">
        <v>1281</v>
      </c>
      <c r="H59" s="6">
        <v>1.5039486811311783E-2</v>
      </c>
      <c r="I59" s="6">
        <v>2.0455778831671188E-2</v>
      </c>
    </row>
    <row r="60" spans="1:9">
      <c r="A60" s="5" t="s">
        <v>1282</v>
      </c>
      <c r="B60" s="6">
        <v>9.6968792831768466E-4</v>
      </c>
      <c r="C60" s="6">
        <v>1.5396716649741945E-3</v>
      </c>
      <c r="G60" s="5" t="s">
        <v>1282</v>
      </c>
      <c r="H60" s="6">
        <v>9.6968792831768466E-4</v>
      </c>
      <c r="I60" s="6">
        <v>1.5396716649741945E-3</v>
      </c>
    </row>
    <row r="61" spans="1:9">
      <c r="A61" s="5" t="s">
        <v>1283</v>
      </c>
      <c r="B61" s="6">
        <v>4.4848066684692912E-3</v>
      </c>
      <c r="C61" s="6">
        <v>5.0235537410701081E-3</v>
      </c>
      <c r="G61" s="5" t="s">
        <v>1283</v>
      </c>
      <c r="H61" s="6">
        <v>4.4848066684692912E-3</v>
      </c>
      <c r="I61" s="6">
        <v>5.0235537410701081E-3</v>
      </c>
    </row>
    <row r="62" spans="1:9">
      <c r="A62" s="5" t="s">
        <v>1284</v>
      </c>
      <c r="B62" s="6">
        <v>3.4498512834379167E-4</v>
      </c>
      <c r="C62" s="6">
        <v>4.7329776572091584E-4</v>
      </c>
      <c r="G62" s="5" t="s">
        <v>1284</v>
      </c>
      <c r="H62" s="6">
        <v>3.4498512834379167E-4</v>
      </c>
      <c r="I62" s="6">
        <v>4.7329776572091584E-4</v>
      </c>
    </row>
    <row r="63" spans="1:9">
      <c r="A63" s="5" t="s">
        <v>1285</v>
      </c>
      <c r="B63" s="6">
        <v>2.2274850584143739E-2</v>
      </c>
      <c r="C63" s="6">
        <v>1.7022685677617461E-2</v>
      </c>
      <c r="G63" s="5" t="s">
        <v>1285</v>
      </c>
      <c r="H63" s="6">
        <v>2.2274850584143739E-2</v>
      </c>
      <c r="I63" s="6">
        <v>1.7022685677617461E-2</v>
      </c>
    </row>
    <row r="64" spans="1:9">
      <c r="A64" s="5" t="s">
        <v>1286</v>
      </c>
      <c r="B64" s="6">
        <v>8.3915301489030408E-5</v>
      </c>
      <c r="C64" s="6">
        <v>1.2157930975221199E-4</v>
      </c>
      <c r="G64" s="5" t="s">
        <v>1286</v>
      </c>
      <c r="H64" s="6">
        <v>8.3915301489030408E-5</v>
      </c>
      <c r="I64" s="6">
        <v>1.2157930975221199E-4</v>
      </c>
    </row>
    <row r="65" spans="1:9">
      <c r="A65" s="5" t="s">
        <v>1287</v>
      </c>
      <c r="B65" s="6">
        <v>1.6503342626175981E-3</v>
      </c>
      <c r="C65" s="6">
        <v>1.455753039665986E-2</v>
      </c>
      <c r="G65" s="5" t="s">
        <v>1287</v>
      </c>
      <c r="H65" s="6">
        <v>1.6503342626175981E-3</v>
      </c>
      <c r="I65" s="6">
        <v>1.455753039665986E-2</v>
      </c>
    </row>
    <row r="66" spans="1:9">
      <c r="A66" s="5" t="s">
        <v>1288</v>
      </c>
      <c r="B66" s="6">
        <v>3.0461254440518039E-2</v>
      </c>
      <c r="C66" s="6">
        <v>2.9789521414511487E-2</v>
      </c>
      <c r="G66" s="5" t="s">
        <v>1288</v>
      </c>
      <c r="H66" s="6">
        <v>3.0461254440518039E-2</v>
      </c>
      <c r="I66" s="6">
        <v>2.9789521414511487E-2</v>
      </c>
    </row>
    <row r="67" spans="1:9">
      <c r="A67" s="5" t="s">
        <v>1289</v>
      </c>
      <c r="B67" s="6">
        <v>1.7267904261964923E-2</v>
      </c>
      <c r="C67" s="6">
        <v>1.5847562410455481E-2</v>
      </c>
      <c r="G67" s="5" t="s">
        <v>1289</v>
      </c>
      <c r="H67" s="6">
        <v>1.7267904261964923E-2</v>
      </c>
      <c r="I67" s="6">
        <v>1.5847562410455481E-2</v>
      </c>
    </row>
    <row r="68" spans="1:9">
      <c r="A68" s="5" t="s">
        <v>1290</v>
      </c>
      <c r="B68" s="6">
        <v>6.806463342999133E-4</v>
      </c>
      <c r="C68" s="6">
        <v>3.3579081534332411E-3</v>
      </c>
      <c r="G68" s="5" t="s">
        <v>1290</v>
      </c>
      <c r="H68" s="6">
        <v>6.806463342999133E-4</v>
      </c>
      <c r="I68" s="6">
        <v>3.3579081534332411E-3</v>
      </c>
    </row>
    <row r="69" spans="1:9">
      <c r="A69" s="5" t="s">
        <v>1291</v>
      </c>
      <c r="B69" s="6">
        <v>1.3985883581505066E-4</v>
      </c>
      <c r="C69" s="6">
        <v>3.1210009258445995E-4</v>
      </c>
      <c r="G69" s="5" t="s">
        <v>1291</v>
      </c>
      <c r="H69" s="6">
        <v>1.3985883581505066E-4</v>
      </c>
      <c r="I69" s="6">
        <v>3.1210009258445995E-4</v>
      </c>
    </row>
    <row r="70" spans="1:9">
      <c r="A70" s="5" t="s">
        <v>1292</v>
      </c>
      <c r="B70" s="6">
        <v>5.2185993603789241E-2</v>
      </c>
      <c r="C70" s="6">
        <v>8.8152629587257114E-2</v>
      </c>
      <c r="G70" s="5" t="s">
        <v>1292</v>
      </c>
      <c r="H70" s="6">
        <v>5.2185993603789241E-2</v>
      </c>
      <c r="I70" s="6">
        <v>8.8152629587257114E-2</v>
      </c>
    </row>
    <row r="71" spans="1:9">
      <c r="A71" s="5" t="s">
        <v>1293</v>
      </c>
      <c r="B71" s="6">
        <v>9.3239223876700452E-6</v>
      </c>
      <c r="C71" s="6">
        <v>7.8643752871834143E-6</v>
      </c>
      <c r="G71" s="5" t="s">
        <v>1293</v>
      </c>
      <c r="H71" s="6">
        <v>9.3239223876700452E-6</v>
      </c>
      <c r="I71" s="6">
        <v>7.8643752871834143E-6</v>
      </c>
    </row>
    <row r="72" spans="1:9">
      <c r="A72" s="5" t="s">
        <v>1294</v>
      </c>
      <c r="B72" s="6">
        <v>1.7435734864942984E-3</v>
      </c>
      <c r="C72" s="6">
        <v>1.5481785597223393E-3</v>
      </c>
      <c r="G72" s="5" t="s">
        <v>1294</v>
      </c>
      <c r="H72" s="6">
        <v>1.7435734864942984E-3</v>
      </c>
      <c r="I72" s="6">
        <v>1.5481785597223393E-3</v>
      </c>
    </row>
    <row r="73" spans="1:9">
      <c r="A73" s="5" t="s">
        <v>1295</v>
      </c>
      <c r="B73" s="6">
        <v>6.8997025668758333E-4</v>
      </c>
      <c r="C73" s="6">
        <v>4.5695480743661906E-4</v>
      </c>
      <c r="G73" s="5" t="s">
        <v>1295</v>
      </c>
      <c r="H73" s="6">
        <v>6.8997025668758333E-4</v>
      </c>
      <c r="I73" s="6">
        <v>4.5695480743661906E-4</v>
      </c>
    </row>
    <row r="74" spans="1:9">
      <c r="A74" s="5" t="s">
        <v>1296</v>
      </c>
      <c r="B74" s="6">
        <v>3.9253713252090892E-2</v>
      </c>
      <c r="C74" s="6">
        <v>2.2898659056065338E-2</v>
      </c>
      <c r="G74" s="5" t="s">
        <v>1296</v>
      </c>
      <c r="H74" s="6">
        <v>3.9253713252090892E-2</v>
      </c>
      <c r="I74" s="6">
        <v>2.2898659056065338E-2</v>
      </c>
    </row>
    <row r="75" spans="1:9">
      <c r="A75" s="5" t="s">
        <v>1297</v>
      </c>
      <c r="B75" s="6">
        <v>2.2097696058778005E-3</v>
      </c>
      <c r="C75" s="6">
        <v>4.2670904923213463E-3</v>
      </c>
      <c r="G75" s="5" t="s">
        <v>1297</v>
      </c>
      <c r="H75" s="6">
        <v>2.2097696058778005E-3</v>
      </c>
      <c r="I75" s="6">
        <v>4.2670904923213463E-3</v>
      </c>
    </row>
    <row r="76" spans="1:9">
      <c r="A76" s="5" t="s">
        <v>1298</v>
      </c>
      <c r="B76" s="6">
        <v>6.3048363185424838E-2</v>
      </c>
      <c r="C76" s="6">
        <v>4.7549126581851474E-2</v>
      </c>
      <c r="G76" s="5" t="s">
        <v>1298</v>
      </c>
      <c r="H76" s="6">
        <v>6.3048363185424838E-2</v>
      </c>
      <c r="I76" s="6">
        <v>4.7549126581851474E-2</v>
      </c>
    </row>
    <row r="77" spans="1:9">
      <c r="A77" s="5" t="s">
        <v>1299</v>
      </c>
      <c r="B77" s="6">
        <v>1.4284249097910508E-2</v>
      </c>
      <c r="C77" s="6">
        <v>1.338135173033435E-2</v>
      </c>
      <c r="G77" s="5" t="s">
        <v>1299</v>
      </c>
      <c r="H77" s="6">
        <v>1.4284249097910508E-2</v>
      </c>
      <c r="I77" s="6">
        <v>1.338135173033435E-2</v>
      </c>
    </row>
    <row r="78" spans="1:9">
      <c r="A78" s="5" t="s">
        <v>944</v>
      </c>
      <c r="B78" s="6">
        <v>1</v>
      </c>
      <c r="C78" s="6">
        <v>1</v>
      </c>
    </row>
  </sheetData>
  <conditionalFormatting pivot="1" sqref="B4:C77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4:I7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271B-0521-4B1F-96E3-1E6D58D41071}">
  <dimension ref="A3:B18"/>
  <sheetViews>
    <sheetView workbookViewId="0">
      <selection activeCell="A3" sqref="A3"/>
    </sheetView>
  </sheetViews>
  <sheetFormatPr defaultRowHeight="14.4"/>
  <cols>
    <col min="1" max="1" width="12.44140625" bestFit="1" customWidth="1"/>
    <col min="2" max="2" width="22.109375" bestFit="1" customWidth="1"/>
  </cols>
  <sheetData>
    <row r="3" spans="1:2">
      <c r="A3" s="4" t="s">
        <v>943</v>
      </c>
      <c r="B3" t="s">
        <v>1302</v>
      </c>
    </row>
    <row r="4" spans="1:2">
      <c r="A4" s="5" t="s">
        <v>1064</v>
      </c>
      <c r="B4">
        <v>9.19</v>
      </c>
    </row>
    <row r="5" spans="1:2">
      <c r="A5" s="5" t="s">
        <v>1128</v>
      </c>
      <c r="B5">
        <v>11.21</v>
      </c>
    </row>
    <row r="6" spans="1:2">
      <c r="A6" s="5" t="s">
        <v>1045</v>
      </c>
      <c r="B6">
        <v>10.14</v>
      </c>
    </row>
    <row r="7" spans="1:2">
      <c r="A7" s="5" t="s">
        <v>948</v>
      </c>
      <c r="B7">
        <v>10.1</v>
      </c>
    </row>
    <row r="8" spans="1:2">
      <c r="A8" s="5" t="s">
        <v>1040</v>
      </c>
      <c r="B8">
        <v>10.41</v>
      </c>
    </row>
    <row r="9" spans="1:2">
      <c r="A9" s="5" t="s">
        <v>913</v>
      </c>
      <c r="B9">
        <v>10.18</v>
      </c>
    </row>
    <row r="10" spans="1:2">
      <c r="A10" s="5" t="s">
        <v>1027</v>
      </c>
      <c r="B10">
        <v>8.6</v>
      </c>
    </row>
    <row r="11" spans="1:2">
      <c r="A11" s="5" t="s">
        <v>1208</v>
      </c>
      <c r="B11">
        <v>10.119999999999999</v>
      </c>
    </row>
    <row r="12" spans="1:2">
      <c r="A12" s="5" t="s">
        <v>1179</v>
      </c>
      <c r="B12">
        <v>13.2</v>
      </c>
    </row>
    <row r="13" spans="1:2">
      <c r="A13" s="5" t="s">
        <v>920</v>
      </c>
      <c r="B13">
        <v>9.26</v>
      </c>
    </row>
    <row r="14" spans="1:2">
      <c r="A14" s="5" t="s">
        <v>959</v>
      </c>
      <c r="B14">
        <v>11.2</v>
      </c>
    </row>
    <row r="15" spans="1:2">
      <c r="A15" s="5" t="s">
        <v>925</v>
      </c>
      <c r="B15">
        <v>9.9</v>
      </c>
    </row>
    <row r="16" spans="1:2">
      <c r="A16" s="5" t="s">
        <v>930</v>
      </c>
      <c r="B16">
        <v>8.66</v>
      </c>
    </row>
    <row r="17" spans="1:2">
      <c r="A17" s="5" t="s">
        <v>908</v>
      </c>
      <c r="B17">
        <v>11.1</v>
      </c>
    </row>
    <row r="18" spans="1:2">
      <c r="A18" s="5" t="s">
        <v>944</v>
      </c>
      <c r="B18">
        <v>13.2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FEE1A-1D35-431A-B72C-BDBF2C28E1C2}">
  <dimension ref="A1:H875"/>
  <sheetViews>
    <sheetView workbookViewId="0">
      <selection activeCell="C20" sqref="C20"/>
    </sheetView>
  </sheetViews>
  <sheetFormatPr defaultRowHeight="14.4"/>
  <cols>
    <col min="1" max="1" width="41.33203125" bestFit="1" customWidth="1"/>
    <col min="3" max="3" width="26.6640625" bestFit="1" customWidth="1"/>
    <col min="4" max="4" width="16.6640625" bestFit="1" customWidth="1"/>
    <col min="5" max="5" width="18.109375" bestFit="1" customWidth="1"/>
    <col min="6" max="6" width="12.21875" bestFit="1" customWidth="1"/>
    <col min="7" max="7" width="14.44140625" bestFit="1" customWidth="1"/>
    <col min="8" max="8" width="15.77734375" bestFit="1" customWidth="1"/>
  </cols>
  <sheetData>
    <row r="1" spans="1:8">
      <c r="A1" t="s">
        <v>1218</v>
      </c>
      <c r="B1" t="s">
        <v>1219</v>
      </c>
      <c r="C1" t="s">
        <v>1220</v>
      </c>
      <c r="D1" t="s">
        <v>1221</v>
      </c>
      <c r="E1" t="s">
        <v>1222</v>
      </c>
      <c r="F1" t="s">
        <v>1223</v>
      </c>
      <c r="G1" t="s">
        <v>1224</v>
      </c>
      <c r="H1" t="s">
        <v>1225</v>
      </c>
    </row>
    <row r="2" spans="1:8">
      <c r="A2" t="s">
        <v>1226</v>
      </c>
      <c r="B2" t="s">
        <v>1179</v>
      </c>
      <c r="C2">
        <v>5611.92</v>
      </c>
      <c r="D2">
        <v>261821.53999999899</v>
      </c>
      <c r="E2">
        <v>2.14</v>
      </c>
      <c r="F2">
        <v>5</v>
      </c>
      <c r="G2">
        <v>1796</v>
      </c>
      <c r="H2">
        <v>0.28000000000000003</v>
      </c>
    </row>
    <row r="3" spans="1:8">
      <c r="A3" t="s">
        <v>1226</v>
      </c>
      <c r="B3" t="s">
        <v>1040</v>
      </c>
      <c r="C3">
        <v>2298.39</v>
      </c>
      <c r="D3">
        <v>293729.82999999903</v>
      </c>
      <c r="E3">
        <v>0.78</v>
      </c>
      <c r="F3">
        <v>7</v>
      </c>
      <c r="G3">
        <v>2316</v>
      </c>
      <c r="H3">
        <v>0.3</v>
      </c>
    </row>
    <row r="4" spans="1:8">
      <c r="A4" t="s">
        <v>1226</v>
      </c>
      <c r="B4" t="s">
        <v>913</v>
      </c>
      <c r="C4">
        <v>12126.49</v>
      </c>
      <c r="D4">
        <v>1577629.1</v>
      </c>
      <c r="E4">
        <v>0.77</v>
      </c>
      <c r="F4">
        <v>21</v>
      </c>
      <c r="G4">
        <v>13110</v>
      </c>
      <c r="H4">
        <v>0.16</v>
      </c>
    </row>
    <row r="5" spans="1:8">
      <c r="A5" t="s">
        <v>1226</v>
      </c>
      <c r="B5" t="s">
        <v>920</v>
      </c>
      <c r="C5">
        <v>4903.53</v>
      </c>
      <c r="D5">
        <v>683400.24999999895</v>
      </c>
      <c r="E5">
        <v>0.72</v>
      </c>
      <c r="F5">
        <v>12</v>
      </c>
      <c r="G5">
        <v>5736</v>
      </c>
      <c r="H5">
        <v>0.21</v>
      </c>
    </row>
    <row r="6" spans="1:8">
      <c r="A6" t="s">
        <v>1226</v>
      </c>
      <c r="B6" t="s">
        <v>1208</v>
      </c>
      <c r="C6">
        <v>1109.98</v>
      </c>
      <c r="D6">
        <v>175925.19</v>
      </c>
      <c r="E6">
        <v>0.63</v>
      </c>
      <c r="F6">
        <v>2</v>
      </c>
      <c r="G6">
        <v>1067</v>
      </c>
      <c r="H6">
        <v>0.19</v>
      </c>
    </row>
    <row r="7" spans="1:8">
      <c r="A7" t="s">
        <v>1226</v>
      </c>
      <c r="B7" t="s">
        <v>908</v>
      </c>
      <c r="C7">
        <v>25884.049999999901</v>
      </c>
      <c r="D7">
        <v>5195744.47999998</v>
      </c>
      <c r="E7">
        <v>0.5</v>
      </c>
      <c r="F7">
        <v>95</v>
      </c>
      <c r="G7">
        <v>47399</v>
      </c>
      <c r="H7">
        <v>0.2</v>
      </c>
    </row>
    <row r="8" spans="1:8">
      <c r="A8" t="s">
        <v>1226</v>
      </c>
      <c r="B8" t="s">
        <v>959</v>
      </c>
      <c r="C8">
        <v>8598.86</v>
      </c>
      <c r="D8">
        <v>1803168.25</v>
      </c>
      <c r="E8">
        <v>0.48</v>
      </c>
      <c r="F8">
        <v>28</v>
      </c>
      <c r="G8">
        <v>14468</v>
      </c>
      <c r="H8">
        <v>0.19</v>
      </c>
    </row>
    <row r="9" spans="1:8">
      <c r="A9" t="s">
        <v>1226</v>
      </c>
      <c r="B9" t="s">
        <v>1064</v>
      </c>
      <c r="C9">
        <v>2257</v>
      </c>
      <c r="D9">
        <v>508609.12999999902</v>
      </c>
      <c r="E9">
        <v>0.44</v>
      </c>
      <c r="F9">
        <v>5</v>
      </c>
      <c r="G9">
        <v>3766</v>
      </c>
      <c r="H9">
        <v>0.13</v>
      </c>
    </row>
    <row r="10" spans="1:8">
      <c r="A10" t="s">
        <v>1226</v>
      </c>
      <c r="B10" t="s">
        <v>925</v>
      </c>
      <c r="C10">
        <v>3155.93</v>
      </c>
      <c r="D10">
        <v>751552.01999999897</v>
      </c>
      <c r="E10">
        <v>0.42</v>
      </c>
      <c r="F10">
        <v>9</v>
      </c>
      <c r="G10">
        <v>6265</v>
      </c>
      <c r="H10">
        <v>0.14000000000000001</v>
      </c>
    </row>
    <row r="11" spans="1:8">
      <c r="A11" t="s">
        <v>1226</v>
      </c>
      <c r="B11" t="s">
        <v>1027</v>
      </c>
      <c r="C11">
        <v>530</v>
      </c>
      <c r="D11">
        <v>155690.51</v>
      </c>
      <c r="E11">
        <v>0.34</v>
      </c>
      <c r="F11">
        <v>2</v>
      </c>
      <c r="G11">
        <v>1047</v>
      </c>
      <c r="H11">
        <v>0.19</v>
      </c>
    </row>
    <row r="12" spans="1:8">
      <c r="A12" t="s">
        <v>1226</v>
      </c>
      <c r="B12" t="s">
        <v>930</v>
      </c>
      <c r="C12">
        <v>1069.98</v>
      </c>
      <c r="D12">
        <v>514179.52999999898</v>
      </c>
      <c r="E12">
        <v>0.21</v>
      </c>
      <c r="F12">
        <v>3</v>
      </c>
      <c r="G12">
        <v>4156</v>
      </c>
      <c r="H12">
        <v>7.0000000000000007E-2</v>
      </c>
    </row>
    <row r="13" spans="1:8">
      <c r="A13" t="s">
        <v>1226</v>
      </c>
      <c r="B13" t="s">
        <v>1128</v>
      </c>
      <c r="C13">
        <v>452.9</v>
      </c>
      <c r="D13">
        <v>226813.40999999901</v>
      </c>
      <c r="E13">
        <v>0.2</v>
      </c>
      <c r="F13">
        <v>6</v>
      </c>
      <c r="G13">
        <v>1472</v>
      </c>
      <c r="H13">
        <v>0.41</v>
      </c>
    </row>
    <row r="14" spans="1:8">
      <c r="A14" t="s">
        <v>1226</v>
      </c>
      <c r="B14" t="s">
        <v>948</v>
      </c>
      <c r="C14">
        <v>442.3</v>
      </c>
      <c r="D14">
        <v>263711.51999999897</v>
      </c>
      <c r="E14">
        <v>0.17</v>
      </c>
      <c r="F14">
        <v>2</v>
      </c>
      <c r="G14">
        <v>2237</v>
      </c>
      <c r="H14">
        <v>0.09</v>
      </c>
    </row>
    <row r="15" spans="1:8">
      <c r="A15" t="s">
        <v>1227</v>
      </c>
      <c r="B15" t="s">
        <v>1027</v>
      </c>
      <c r="C15">
        <v>734.4</v>
      </c>
      <c r="D15">
        <v>155690.51</v>
      </c>
      <c r="E15">
        <v>0.47</v>
      </c>
      <c r="F15">
        <v>7</v>
      </c>
      <c r="G15">
        <v>1047</v>
      </c>
      <c r="H15">
        <v>0.67</v>
      </c>
    </row>
    <row r="16" spans="1:8">
      <c r="A16" t="s">
        <v>1227</v>
      </c>
      <c r="B16" t="s">
        <v>948</v>
      </c>
      <c r="C16">
        <v>963.69</v>
      </c>
      <c r="D16">
        <v>263711.51999999897</v>
      </c>
      <c r="E16">
        <v>0.37</v>
      </c>
      <c r="F16">
        <v>14</v>
      </c>
      <c r="G16">
        <v>2237</v>
      </c>
      <c r="H16">
        <v>0.63</v>
      </c>
    </row>
    <row r="17" spans="1:8">
      <c r="A17" t="s">
        <v>1227</v>
      </c>
      <c r="B17" t="s">
        <v>908</v>
      </c>
      <c r="C17">
        <v>15299.8299999999</v>
      </c>
      <c r="D17">
        <v>5195744.47999998</v>
      </c>
      <c r="E17">
        <v>0.28999999999999998</v>
      </c>
      <c r="F17">
        <v>277</v>
      </c>
      <c r="G17">
        <v>47399</v>
      </c>
      <c r="H17">
        <v>0.57999999999999996</v>
      </c>
    </row>
    <row r="18" spans="1:8">
      <c r="A18" t="s">
        <v>1227</v>
      </c>
      <c r="B18" t="s">
        <v>920</v>
      </c>
      <c r="C18">
        <v>1694.19999999999</v>
      </c>
      <c r="D18">
        <v>683400.24999999895</v>
      </c>
      <c r="E18">
        <v>0.25</v>
      </c>
      <c r="F18">
        <v>29</v>
      </c>
      <c r="G18">
        <v>5736</v>
      </c>
      <c r="H18">
        <v>0.51</v>
      </c>
    </row>
    <row r="19" spans="1:8">
      <c r="A19" t="s">
        <v>1227</v>
      </c>
      <c r="B19" t="s">
        <v>1179</v>
      </c>
      <c r="C19">
        <v>603.54999999999995</v>
      </c>
      <c r="D19">
        <v>261821.53999999899</v>
      </c>
      <c r="E19">
        <v>0.23</v>
      </c>
      <c r="F19">
        <v>8</v>
      </c>
      <c r="G19">
        <v>1796</v>
      </c>
      <c r="H19">
        <v>0.45</v>
      </c>
    </row>
    <row r="20" spans="1:8">
      <c r="A20" t="s">
        <v>1227</v>
      </c>
      <c r="B20" t="s">
        <v>1064</v>
      </c>
      <c r="C20">
        <v>883.06</v>
      </c>
      <c r="D20">
        <v>508609.12999999902</v>
      </c>
      <c r="E20">
        <v>0.17</v>
      </c>
      <c r="F20">
        <v>14</v>
      </c>
      <c r="G20">
        <v>3766</v>
      </c>
      <c r="H20">
        <v>0.37</v>
      </c>
    </row>
    <row r="21" spans="1:8">
      <c r="A21" t="s">
        <v>1227</v>
      </c>
      <c r="B21" t="s">
        <v>959</v>
      </c>
      <c r="C21">
        <v>2808.31</v>
      </c>
      <c r="D21">
        <v>1803168.25</v>
      </c>
      <c r="E21">
        <v>0.16</v>
      </c>
      <c r="F21">
        <v>47</v>
      </c>
      <c r="G21">
        <v>14468</v>
      </c>
      <c r="H21">
        <v>0.32</v>
      </c>
    </row>
    <row r="22" spans="1:8">
      <c r="A22" t="s">
        <v>1227</v>
      </c>
      <c r="B22" t="s">
        <v>930</v>
      </c>
      <c r="C22">
        <v>747.44</v>
      </c>
      <c r="D22">
        <v>514179.52999999898</v>
      </c>
      <c r="E22">
        <v>0.15</v>
      </c>
      <c r="F22">
        <v>16</v>
      </c>
      <c r="G22">
        <v>4156</v>
      </c>
      <c r="H22">
        <v>0.38</v>
      </c>
    </row>
    <row r="23" spans="1:8">
      <c r="A23" t="s">
        <v>1227</v>
      </c>
      <c r="B23" t="s">
        <v>1128</v>
      </c>
      <c r="C23">
        <v>348.69</v>
      </c>
      <c r="D23">
        <v>226813.40999999901</v>
      </c>
      <c r="E23">
        <v>0.15</v>
      </c>
      <c r="F23">
        <v>5</v>
      </c>
      <c r="G23">
        <v>1472</v>
      </c>
      <c r="H23">
        <v>0.34</v>
      </c>
    </row>
    <row r="24" spans="1:8">
      <c r="A24" t="s">
        <v>1227</v>
      </c>
      <c r="B24" t="s">
        <v>1040</v>
      </c>
      <c r="C24">
        <v>398.46</v>
      </c>
      <c r="D24">
        <v>293729.82999999903</v>
      </c>
      <c r="E24">
        <v>0.14000000000000001</v>
      </c>
      <c r="F24">
        <v>7</v>
      </c>
      <c r="G24">
        <v>2316</v>
      </c>
      <c r="H24">
        <v>0.3</v>
      </c>
    </row>
    <row r="25" spans="1:8">
      <c r="A25" t="s">
        <v>1227</v>
      </c>
      <c r="B25" t="s">
        <v>913</v>
      </c>
      <c r="C25">
        <v>2115.5899999999901</v>
      </c>
      <c r="D25">
        <v>1577629.1</v>
      </c>
      <c r="E25">
        <v>0.13</v>
      </c>
      <c r="F25">
        <v>38</v>
      </c>
      <c r="G25">
        <v>13110</v>
      </c>
      <c r="H25">
        <v>0.28999999999999998</v>
      </c>
    </row>
    <row r="26" spans="1:8">
      <c r="A26" t="s">
        <v>1227</v>
      </c>
      <c r="B26" t="s">
        <v>1045</v>
      </c>
      <c r="C26">
        <v>340.17</v>
      </c>
      <c r="D26">
        <v>303593.40000000002</v>
      </c>
      <c r="E26">
        <v>0.11</v>
      </c>
      <c r="F26">
        <v>6</v>
      </c>
      <c r="G26">
        <v>2416</v>
      </c>
      <c r="H26">
        <v>0.25</v>
      </c>
    </row>
    <row r="27" spans="1:8">
      <c r="A27" t="s">
        <v>1227</v>
      </c>
      <c r="B27" t="s">
        <v>925</v>
      </c>
      <c r="C27">
        <v>727.82</v>
      </c>
      <c r="D27">
        <v>751552.01999999897</v>
      </c>
      <c r="E27">
        <v>0.1</v>
      </c>
      <c r="F27">
        <v>13</v>
      </c>
      <c r="G27">
        <v>6265</v>
      </c>
      <c r="H27">
        <v>0.21</v>
      </c>
    </row>
    <row r="28" spans="1:8">
      <c r="A28" t="s">
        <v>1228</v>
      </c>
      <c r="B28" t="s">
        <v>1179</v>
      </c>
      <c r="C28">
        <v>672.01</v>
      </c>
      <c r="D28">
        <v>261821.53999999899</v>
      </c>
      <c r="E28">
        <v>0.26</v>
      </c>
      <c r="F28">
        <v>5</v>
      </c>
      <c r="G28">
        <v>1796</v>
      </c>
      <c r="H28">
        <v>0.28000000000000003</v>
      </c>
    </row>
    <row r="29" spans="1:8">
      <c r="A29" t="s">
        <v>1228</v>
      </c>
      <c r="B29" t="s">
        <v>959</v>
      </c>
      <c r="C29">
        <v>2811.4</v>
      </c>
      <c r="D29">
        <v>1803168.25</v>
      </c>
      <c r="E29">
        <v>0.16</v>
      </c>
      <c r="F29">
        <v>52</v>
      </c>
      <c r="G29">
        <v>14468</v>
      </c>
      <c r="H29">
        <v>0.36</v>
      </c>
    </row>
    <row r="30" spans="1:8">
      <c r="A30" t="s">
        <v>1228</v>
      </c>
      <c r="B30" t="s">
        <v>1128</v>
      </c>
      <c r="C30">
        <v>291.86</v>
      </c>
      <c r="D30">
        <v>226813.40999999901</v>
      </c>
      <c r="E30">
        <v>0.13</v>
      </c>
      <c r="F30">
        <v>4</v>
      </c>
      <c r="G30">
        <v>1472</v>
      </c>
      <c r="H30">
        <v>0.27</v>
      </c>
    </row>
    <row r="31" spans="1:8">
      <c r="A31" t="s">
        <v>1228</v>
      </c>
      <c r="B31" t="s">
        <v>948</v>
      </c>
      <c r="C31">
        <v>311</v>
      </c>
      <c r="D31">
        <v>263711.51999999897</v>
      </c>
      <c r="E31">
        <v>0.12</v>
      </c>
      <c r="F31">
        <v>7</v>
      </c>
      <c r="G31">
        <v>2237</v>
      </c>
      <c r="H31">
        <v>0.31</v>
      </c>
    </row>
    <row r="32" spans="1:8">
      <c r="A32" t="s">
        <v>1228</v>
      </c>
      <c r="B32" t="s">
        <v>913</v>
      </c>
      <c r="C32">
        <v>1913.9</v>
      </c>
      <c r="D32">
        <v>1577629.1</v>
      </c>
      <c r="E32">
        <v>0.12</v>
      </c>
      <c r="F32">
        <v>26</v>
      </c>
      <c r="G32">
        <v>13110</v>
      </c>
      <c r="H32">
        <v>0.2</v>
      </c>
    </row>
    <row r="33" spans="1:8">
      <c r="A33" t="s">
        <v>1228</v>
      </c>
      <c r="B33" t="s">
        <v>908</v>
      </c>
      <c r="C33">
        <v>6429.16</v>
      </c>
      <c r="D33">
        <v>5195744.47999998</v>
      </c>
      <c r="E33">
        <v>0.12</v>
      </c>
      <c r="F33">
        <v>136</v>
      </c>
      <c r="G33">
        <v>47399</v>
      </c>
      <c r="H33">
        <v>0.28999999999999998</v>
      </c>
    </row>
    <row r="34" spans="1:8">
      <c r="A34" t="s">
        <v>1228</v>
      </c>
      <c r="B34" t="s">
        <v>1064</v>
      </c>
      <c r="C34">
        <v>550.41999999999996</v>
      </c>
      <c r="D34">
        <v>508609.12999999902</v>
      </c>
      <c r="E34">
        <v>0.11</v>
      </c>
      <c r="F34">
        <v>8</v>
      </c>
      <c r="G34">
        <v>3766</v>
      </c>
      <c r="H34">
        <v>0.21</v>
      </c>
    </row>
    <row r="35" spans="1:8">
      <c r="A35" t="s">
        <v>1228</v>
      </c>
      <c r="B35" t="s">
        <v>1045</v>
      </c>
      <c r="C35">
        <v>310.79000000000002</v>
      </c>
      <c r="D35">
        <v>303593.40000000002</v>
      </c>
      <c r="E35">
        <v>0.1</v>
      </c>
      <c r="F35">
        <v>4</v>
      </c>
      <c r="G35">
        <v>2416</v>
      </c>
      <c r="H35">
        <v>0.17</v>
      </c>
    </row>
    <row r="36" spans="1:8">
      <c r="A36" t="s">
        <v>1228</v>
      </c>
      <c r="B36" t="s">
        <v>920</v>
      </c>
      <c r="C36">
        <v>653.48</v>
      </c>
      <c r="D36">
        <v>683400.24999999895</v>
      </c>
      <c r="E36">
        <v>0.1</v>
      </c>
      <c r="F36">
        <v>16</v>
      </c>
      <c r="G36">
        <v>5736</v>
      </c>
      <c r="H36">
        <v>0.28000000000000003</v>
      </c>
    </row>
    <row r="37" spans="1:8">
      <c r="A37" t="s">
        <v>1228</v>
      </c>
      <c r="B37" t="s">
        <v>1208</v>
      </c>
      <c r="C37">
        <v>64.599999999999994</v>
      </c>
      <c r="D37">
        <v>175925.19</v>
      </c>
      <c r="E37">
        <v>0.04</v>
      </c>
      <c r="F37">
        <v>1</v>
      </c>
      <c r="G37">
        <v>1067</v>
      </c>
      <c r="H37">
        <v>0.09</v>
      </c>
    </row>
    <row r="38" spans="1:8">
      <c r="A38" t="s">
        <v>1228</v>
      </c>
      <c r="B38" t="s">
        <v>925</v>
      </c>
      <c r="C38">
        <v>249</v>
      </c>
      <c r="D38">
        <v>751552.01999999897</v>
      </c>
      <c r="E38">
        <v>0.03</v>
      </c>
      <c r="F38">
        <v>6</v>
      </c>
      <c r="G38">
        <v>6265</v>
      </c>
      <c r="H38">
        <v>0.1</v>
      </c>
    </row>
    <row r="39" spans="1:8">
      <c r="A39" t="s">
        <v>1228</v>
      </c>
      <c r="B39" t="s">
        <v>930</v>
      </c>
      <c r="C39">
        <v>90.699999999999903</v>
      </c>
      <c r="D39">
        <v>514179.52999999898</v>
      </c>
      <c r="E39">
        <v>0.02</v>
      </c>
      <c r="F39">
        <v>3</v>
      </c>
      <c r="G39">
        <v>4156</v>
      </c>
      <c r="H39">
        <v>7.0000000000000007E-2</v>
      </c>
    </row>
    <row r="40" spans="1:8">
      <c r="A40" t="s">
        <v>1229</v>
      </c>
      <c r="B40" t="s">
        <v>908</v>
      </c>
      <c r="C40">
        <v>14818.8399999999</v>
      </c>
      <c r="D40">
        <v>5195744.47999998</v>
      </c>
      <c r="E40">
        <v>0.28999999999999998</v>
      </c>
      <c r="F40">
        <v>98</v>
      </c>
      <c r="G40">
        <v>47399</v>
      </c>
      <c r="H40">
        <v>0.21</v>
      </c>
    </row>
    <row r="41" spans="1:8">
      <c r="A41" t="s">
        <v>1229</v>
      </c>
      <c r="B41" t="s">
        <v>1045</v>
      </c>
      <c r="C41">
        <v>565.79</v>
      </c>
      <c r="D41">
        <v>303593.40000000002</v>
      </c>
      <c r="E41">
        <v>0.19</v>
      </c>
      <c r="F41">
        <v>6</v>
      </c>
      <c r="G41">
        <v>2416</v>
      </c>
      <c r="H41">
        <v>0.25</v>
      </c>
    </row>
    <row r="42" spans="1:8">
      <c r="A42" t="s">
        <v>1229</v>
      </c>
      <c r="B42" t="s">
        <v>1064</v>
      </c>
      <c r="C42">
        <v>898.95</v>
      </c>
      <c r="D42">
        <v>508609.12999999902</v>
      </c>
      <c r="E42">
        <v>0.18</v>
      </c>
      <c r="F42">
        <v>10</v>
      </c>
      <c r="G42">
        <v>3766</v>
      </c>
      <c r="H42">
        <v>0.27</v>
      </c>
    </row>
    <row r="43" spans="1:8">
      <c r="A43" t="s">
        <v>1229</v>
      </c>
      <c r="B43" t="s">
        <v>959</v>
      </c>
      <c r="C43">
        <v>2982.9</v>
      </c>
      <c r="D43">
        <v>1803168.25</v>
      </c>
      <c r="E43">
        <v>0.17</v>
      </c>
      <c r="F43">
        <v>33</v>
      </c>
      <c r="G43">
        <v>14468</v>
      </c>
      <c r="H43">
        <v>0.23</v>
      </c>
    </row>
    <row r="44" spans="1:8">
      <c r="A44" t="s">
        <v>1229</v>
      </c>
      <c r="B44" t="s">
        <v>1040</v>
      </c>
      <c r="C44">
        <v>409.57</v>
      </c>
      <c r="D44">
        <v>293729.82999999903</v>
      </c>
      <c r="E44">
        <v>0.14000000000000001</v>
      </c>
      <c r="F44">
        <v>4</v>
      </c>
      <c r="G44">
        <v>2316</v>
      </c>
      <c r="H44">
        <v>0.17</v>
      </c>
    </row>
    <row r="45" spans="1:8">
      <c r="A45" t="s">
        <v>1229</v>
      </c>
      <c r="B45" t="s">
        <v>1208</v>
      </c>
      <c r="C45">
        <v>169.89</v>
      </c>
      <c r="D45">
        <v>175925.19</v>
      </c>
      <c r="E45">
        <v>0.1</v>
      </c>
      <c r="F45">
        <v>2</v>
      </c>
      <c r="G45">
        <v>1067</v>
      </c>
      <c r="H45">
        <v>0.19</v>
      </c>
    </row>
    <row r="46" spans="1:8">
      <c r="A46" t="s">
        <v>1229</v>
      </c>
      <c r="B46" t="s">
        <v>920</v>
      </c>
      <c r="C46">
        <v>710.81999999999903</v>
      </c>
      <c r="D46">
        <v>683400.24999999895</v>
      </c>
      <c r="E46">
        <v>0.1</v>
      </c>
      <c r="F46">
        <v>9</v>
      </c>
      <c r="G46">
        <v>5736</v>
      </c>
      <c r="H46">
        <v>0.16</v>
      </c>
    </row>
    <row r="47" spans="1:8">
      <c r="A47" t="s">
        <v>1229</v>
      </c>
      <c r="B47" t="s">
        <v>913</v>
      </c>
      <c r="C47">
        <v>1366.54</v>
      </c>
      <c r="D47">
        <v>1577629.1</v>
      </c>
      <c r="E47">
        <v>0.09</v>
      </c>
      <c r="F47">
        <v>18</v>
      </c>
      <c r="G47">
        <v>13110</v>
      </c>
      <c r="H47">
        <v>0.14000000000000001</v>
      </c>
    </row>
    <row r="48" spans="1:8">
      <c r="A48" t="s">
        <v>1229</v>
      </c>
      <c r="B48" t="s">
        <v>925</v>
      </c>
      <c r="C48">
        <v>611.43999999999903</v>
      </c>
      <c r="D48">
        <v>751552.01999999897</v>
      </c>
      <c r="E48">
        <v>0.08</v>
      </c>
      <c r="F48">
        <v>9</v>
      </c>
      <c r="G48">
        <v>6265</v>
      </c>
      <c r="H48">
        <v>0.14000000000000001</v>
      </c>
    </row>
    <row r="49" spans="1:8">
      <c r="A49" t="s">
        <v>1229</v>
      </c>
      <c r="B49" t="s">
        <v>930</v>
      </c>
      <c r="C49">
        <v>422.19</v>
      </c>
      <c r="D49">
        <v>514179.52999999898</v>
      </c>
      <c r="E49">
        <v>0.08</v>
      </c>
      <c r="F49">
        <v>6</v>
      </c>
      <c r="G49">
        <v>4156</v>
      </c>
      <c r="H49">
        <v>0.14000000000000001</v>
      </c>
    </row>
    <row r="50" spans="1:8">
      <c r="A50" t="s">
        <v>1229</v>
      </c>
      <c r="B50" t="s">
        <v>1179</v>
      </c>
      <c r="C50">
        <v>110.99</v>
      </c>
      <c r="D50">
        <v>261821.53999999899</v>
      </c>
      <c r="E50">
        <v>0.04</v>
      </c>
      <c r="F50">
        <v>1</v>
      </c>
      <c r="G50">
        <v>1796</v>
      </c>
      <c r="H50">
        <v>0.06</v>
      </c>
    </row>
    <row r="51" spans="1:8">
      <c r="A51" t="s">
        <v>1229</v>
      </c>
      <c r="B51" t="s">
        <v>1027</v>
      </c>
      <c r="C51">
        <v>69.989999999999995</v>
      </c>
      <c r="D51">
        <v>155690.51</v>
      </c>
      <c r="E51">
        <v>0.04</v>
      </c>
      <c r="F51">
        <v>1</v>
      </c>
      <c r="G51">
        <v>1047</v>
      </c>
      <c r="H51">
        <v>0.1</v>
      </c>
    </row>
    <row r="52" spans="1:8">
      <c r="A52" t="s">
        <v>1229</v>
      </c>
      <c r="B52" t="s">
        <v>948</v>
      </c>
      <c r="C52">
        <v>49.9</v>
      </c>
      <c r="D52">
        <v>263711.51999999897</v>
      </c>
      <c r="E52">
        <v>0.02</v>
      </c>
      <c r="F52">
        <v>1</v>
      </c>
      <c r="G52">
        <v>2237</v>
      </c>
      <c r="H52">
        <v>0.04</v>
      </c>
    </row>
    <row r="53" spans="1:8">
      <c r="A53" t="s">
        <v>1230</v>
      </c>
      <c r="B53" t="s">
        <v>930</v>
      </c>
      <c r="C53">
        <v>289.49</v>
      </c>
      <c r="D53">
        <v>514179.52999999898</v>
      </c>
      <c r="E53">
        <v>0.06</v>
      </c>
      <c r="F53">
        <v>1</v>
      </c>
      <c r="G53">
        <v>4156</v>
      </c>
      <c r="H53">
        <v>0.02</v>
      </c>
    </row>
    <row r="54" spans="1:8">
      <c r="A54" t="s">
        <v>1230</v>
      </c>
      <c r="B54" t="s">
        <v>1045</v>
      </c>
      <c r="C54">
        <v>129.49</v>
      </c>
      <c r="D54">
        <v>303593.40000000002</v>
      </c>
      <c r="E54">
        <v>0.04</v>
      </c>
      <c r="F54">
        <v>1</v>
      </c>
      <c r="G54">
        <v>2416</v>
      </c>
      <c r="H54">
        <v>0.04</v>
      </c>
    </row>
    <row r="55" spans="1:8">
      <c r="A55" t="s">
        <v>1230</v>
      </c>
      <c r="B55" t="s">
        <v>913</v>
      </c>
      <c r="C55">
        <v>488.78</v>
      </c>
      <c r="D55">
        <v>1577629.1</v>
      </c>
      <c r="E55">
        <v>0.03</v>
      </c>
      <c r="F55">
        <v>6</v>
      </c>
      <c r="G55">
        <v>13110</v>
      </c>
      <c r="H55">
        <v>0.05</v>
      </c>
    </row>
    <row r="56" spans="1:8">
      <c r="A56" t="s">
        <v>1230</v>
      </c>
      <c r="B56" t="s">
        <v>908</v>
      </c>
      <c r="C56">
        <v>906.25</v>
      </c>
      <c r="D56">
        <v>5195744.47999998</v>
      </c>
      <c r="E56">
        <v>0.02</v>
      </c>
      <c r="F56">
        <v>16</v>
      </c>
      <c r="G56">
        <v>47399</v>
      </c>
      <c r="H56">
        <v>0.03</v>
      </c>
    </row>
    <row r="57" spans="1:8">
      <c r="A57" t="s">
        <v>1231</v>
      </c>
      <c r="B57" t="s">
        <v>1045</v>
      </c>
      <c r="C57">
        <v>231.2</v>
      </c>
      <c r="D57">
        <v>303593.40000000002</v>
      </c>
      <c r="E57">
        <v>0.08</v>
      </c>
      <c r="F57">
        <v>1</v>
      </c>
      <c r="G57">
        <v>2416</v>
      </c>
      <c r="H57">
        <v>0.04</v>
      </c>
    </row>
    <row r="58" spans="1:8">
      <c r="A58" t="s">
        <v>1231</v>
      </c>
      <c r="B58" t="s">
        <v>913</v>
      </c>
      <c r="C58">
        <v>1103</v>
      </c>
      <c r="D58">
        <v>1577629.1</v>
      </c>
      <c r="E58">
        <v>7.0000000000000007E-2</v>
      </c>
      <c r="F58">
        <v>5</v>
      </c>
      <c r="G58">
        <v>13110</v>
      </c>
      <c r="H58">
        <v>0.04</v>
      </c>
    </row>
    <row r="59" spans="1:8">
      <c r="A59" t="s">
        <v>1231</v>
      </c>
      <c r="B59" t="s">
        <v>920</v>
      </c>
      <c r="C59">
        <v>317.60000000000002</v>
      </c>
      <c r="D59">
        <v>683400.24999999895</v>
      </c>
      <c r="E59">
        <v>0.05</v>
      </c>
      <c r="F59">
        <v>2</v>
      </c>
      <c r="G59">
        <v>5736</v>
      </c>
      <c r="H59">
        <v>0.03</v>
      </c>
    </row>
    <row r="60" spans="1:8">
      <c r="A60" t="s">
        <v>1231</v>
      </c>
      <c r="B60" t="s">
        <v>930</v>
      </c>
      <c r="C60">
        <v>258.89999999999998</v>
      </c>
      <c r="D60">
        <v>514179.52999999898</v>
      </c>
      <c r="E60">
        <v>0.05</v>
      </c>
      <c r="F60">
        <v>2</v>
      </c>
      <c r="G60">
        <v>4156</v>
      </c>
      <c r="H60">
        <v>0.05</v>
      </c>
    </row>
    <row r="61" spans="1:8">
      <c r="A61" t="s">
        <v>1231</v>
      </c>
      <c r="B61" t="s">
        <v>925</v>
      </c>
      <c r="C61">
        <v>359.6</v>
      </c>
      <c r="D61">
        <v>751552.01999999897</v>
      </c>
      <c r="E61">
        <v>0.05</v>
      </c>
      <c r="F61">
        <v>4</v>
      </c>
      <c r="G61">
        <v>6265</v>
      </c>
      <c r="H61">
        <v>0.06</v>
      </c>
    </row>
    <row r="62" spans="1:8">
      <c r="A62" t="s">
        <v>1231</v>
      </c>
      <c r="B62" t="s">
        <v>908</v>
      </c>
      <c r="C62">
        <v>1585.8799999999901</v>
      </c>
      <c r="D62">
        <v>5195744.47999998</v>
      </c>
      <c r="E62">
        <v>0.03</v>
      </c>
      <c r="F62">
        <v>18</v>
      </c>
      <c r="G62">
        <v>47399</v>
      </c>
      <c r="H62">
        <v>0.04</v>
      </c>
    </row>
    <row r="63" spans="1:8">
      <c r="A63" t="s">
        <v>1231</v>
      </c>
      <c r="B63" t="s">
        <v>959</v>
      </c>
      <c r="C63">
        <v>291.5</v>
      </c>
      <c r="D63">
        <v>1803168.25</v>
      </c>
      <c r="E63">
        <v>0.02</v>
      </c>
      <c r="F63">
        <v>6</v>
      </c>
      <c r="G63">
        <v>14468</v>
      </c>
      <c r="H63">
        <v>0.04</v>
      </c>
    </row>
    <row r="64" spans="1:8">
      <c r="A64" t="s">
        <v>1231</v>
      </c>
      <c r="B64" t="s">
        <v>948</v>
      </c>
      <c r="C64">
        <v>62.5</v>
      </c>
      <c r="D64">
        <v>263711.51999999897</v>
      </c>
      <c r="E64">
        <v>0.02</v>
      </c>
      <c r="F64">
        <v>2</v>
      </c>
      <c r="G64">
        <v>2237</v>
      </c>
      <c r="H64">
        <v>0.09</v>
      </c>
    </row>
    <row r="65" spans="1:8">
      <c r="A65" t="s">
        <v>1231</v>
      </c>
      <c r="B65" t="s">
        <v>1040</v>
      </c>
      <c r="C65">
        <v>43.8</v>
      </c>
      <c r="D65">
        <v>293729.82999999903</v>
      </c>
      <c r="E65">
        <v>0.01</v>
      </c>
      <c r="F65">
        <v>2</v>
      </c>
      <c r="G65">
        <v>2316</v>
      </c>
      <c r="H65">
        <v>0.09</v>
      </c>
    </row>
    <row r="66" spans="1:8">
      <c r="A66" t="s">
        <v>1232</v>
      </c>
      <c r="B66" t="s">
        <v>930</v>
      </c>
      <c r="C66">
        <v>898.12</v>
      </c>
      <c r="D66">
        <v>514179.52999999898</v>
      </c>
      <c r="E66">
        <v>0.17</v>
      </c>
      <c r="F66">
        <v>14</v>
      </c>
      <c r="G66">
        <v>4156</v>
      </c>
      <c r="H66">
        <v>0.34</v>
      </c>
    </row>
    <row r="67" spans="1:8">
      <c r="A67" t="s">
        <v>1232</v>
      </c>
      <c r="B67" t="s">
        <v>1064</v>
      </c>
      <c r="C67">
        <v>703.21</v>
      </c>
      <c r="D67">
        <v>508609.12999999902</v>
      </c>
      <c r="E67">
        <v>0.14000000000000001</v>
      </c>
      <c r="F67">
        <v>10</v>
      </c>
      <c r="G67">
        <v>3766</v>
      </c>
      <c r="H67">
        <v>0.27</v>
      </c>
    </row>
    <row r="68" spans="1:8">
      <c r="A68" t="s">
        <v>1232</v>
      </c>
      <c r="B68" t="s">
        <v>1179</v>
      </c>
      <c r="C68">
        <v>372.45</v>
      </c>
      <c r="D68">
        <v>261821.53999999899</v>
      </c>
      <c r="E68">
        <v>0.14000000000000001</v>
      </c>
      <c r="F68">
        <v>4</v>
      </c>
      <c r="G68">
        <v>1796</v>
      </c>
      <c r="H68">
        <v>0.22</v>
      </c>
    </row>
    <row r="69" spans="1:8">
      <c r="A69" t="s">
        <v>1232</v>
      </c>
      <c r="B69" t="s">
        <v>1040</v>
      </c>
      <c r="C69">
        <v>361.7</v>
      </c>
      <c r="D69">
        <v>293729.82999999903</v>
      </c>
      <c r="E69">
        <v>0.12</v>
      </c>
      <c r="F69">
        <v>3</v>
      </c>
      <c r="G69">
        <v>2316</v>
      </c>
      <c r="H69">
        <v>0.13</v>
      </c>
    </row>
    <row r="70" spans="1:8">
      <c r="A70" t="s">
        <v>1232</v>
      </c>
      <c r="B70" t="s">
        <v>1045</v>
      </c>
      <c r="C70">
        <v>311.2</v>
      </c>
      <c r="D70">
        <v>303593.40000000002</v>
      </c>
      <c r="E70">
        <v>0.1</v>
      </c>
      <c r="F70">
        <v>8</v>
      </c>
      <c r="G70">
        <v>2416</v>
      </c>
      <c r="H70">
        <v>0.33</v>
      </c>
    </row>
    <row r="71" spans="1:8">
      <c r="A71" t="s">
        <v>1232</v>
      </c>
      <c r="B71" t="s">
        <v>913</v>
      </c>
      <c r="C71">
        <v>1271.33</v>
      </c>
      <c r="D71">
        <v>1577629.1</v>
      </c>
      <c r="E71">
        <v>0.08</v>
      </c>
      <c r="F71">
        <v>19</v>
      </c>
      <c r="G71">
        <v>13110</v>
      </c>
      <c r="H71">
        <v>0.14000000000000001</v>
      </c>
    </row>
    <row r="72" spans="1:8">
      <c r="A72" t="s">
        <v>1232</v>
      </c>
      <c r="B72" t="s">
        <v>1128</v>
      </c>
      <c r="C72">
        <v>159.80000000000001</v>
      </c>
      <c r="D72">
        <v>226813.40999999901</v>
      </c>
      <c r="E72">
        <v>7.0000000000000007E-2</v>
      </c>
      <c r="F72">
        <v>2</v>
      </c>
      <c r="G72">
        <v>1472</v>
      </c>
      <c r="H72">
        <v>0.14000000000000001</v>
      </c>
    </row>
    <row r="73" spans="1:8">
      <c r="A73" t="s">
        <v>1232</v>
      </c>
      <c r="B73" t="s">
        <v>925</v>
      </c>
      <c r="C73">
        <v>484.9</v>
      </c>
      <c r="D73">
        <v>751552.01999999897</v>
      </c>
      <c r="E73">
        <v>0.06</v>
      </c>
      <c r="F73">
        <v>6</v>
      </c>
      <c r="G73">
        <v>6265</v>
      </c>
      <c r="H73">
        <v>0.1</v>
      </c>
    </row>
    <row r="74" spans="1:8">
      <c r="A74" t="s">
        <v>1232</v>
      </c>
      <c r="B74" t="s">
        <v>1027</v>
      </c>
      <c r="C74">
        <v>79.900000000000006</v>
      </c>
      <c r="D74">
        <v>155690.51</v>
      </c>
      <c r="E74">
        <v>0.05</v>
      </c>
      <c r="F74">
        <v>1</v>
      </c>
      <c r="G74">
        <v>1047</v>
      </c>
      <c r="H74">
        <v>0.1</v>
      </c>
    </row>
    <row r="75" spans="1:8">
      <c r="A75" t="s">
        <v>1232</v>
      </c>
      <c r="B75" t="s">
        <v>908</v>
      </c>
      <c r="C75">
        <v>2143.97999999999</v>
      </c>
      <c r="D75">
        <v>5195744.47999998</v>
      </c>
      <c r="E75">
        <v>0.04</v>
      </c>
      <c r="F75">
        <v>50</v>
      </c>
      <c r="G75">
        <v>47399</v>
      </c>
      <c r="H75">
        <v>0.11</v>
      </c>
    </row>
    <row r="76" spans="1:8">
      <c r="A76" t="s">
        <v>1232</v>
      </c>
      <c r="B76" t="s">
        <v>948</v>
      </c>
      <c r="C76">
        <v>116.9</v>
      </c>
      <c r="D76">
        <v>263711.51999999897</v>
      </c>
      <c r="E76">
        <v>0.04</v>
      </c>
      <c r="F76">
        <v>1</v>
      </c>
      <c r="G76">
        <v>2237</v>
      </c>
      <c r="H76">
        <v>0.04</v>
      </c>
    </row>
    <row r="77" spans="1:8">
      <c r="A77" t="s">
        <v>1232</v>
      </c>
      <c r="B77" t="s">
        <v>959</v>
      </c>
      <c r="C77">
        <v>615.32000000000005</v>
      </c>
      <c r="D77">
        <v>1803168.25</v>
      </c>
      <c r="E77">
        <v>0.03</v>
      </c>
      <c r="F77">
        <v>15</v>
      </c>
      <c r="G77">
        <v>14468</v>
      </c>
      <c r="H77">
        <v>0.1</v>
      </c>
    </row>
    <row r="78" spans="1:8">
      <c r="A78" t="s">
        <v>1232</v>
      </c>
      <c r="B78" t="s">
        <v>920</v>
      </c>
      <c r="C78">
        <v>190.16</v>
      </c>
      <c r="D78">
        <v>683400.24999999895</v>
      </c>
      <c r="E78">
        <v>0.03</v>
      </c>
      <c r="F78">
        <v>6</v>
      </c>
      <c r="G78">
        <v>5736</v>
      </c>
      <c r="H78">
        <v>0.1</v>
      </c>
    </row>
    <row r="79" spans="1:8">
      <c r="A79" t="s">
        <v>1233</v>
      </c>
      <c r="B79" t="s">
        <v>1045</v>
      </c>
      <c r="C79">
        <v>2048.22999999999</v>
      </c>
      <c r="D79">
        <v>303593.40000000002</v>
      </c>
      <c r="E79">
        <v>0.67</v>
      </c>
      <c r="F79">
        <v>16</v>
      </c>
      <c r="G79">
        <v>2416</v>
      </c>
      <c r="H79">
        <v>0.66</v>
      </c>
    </row>
    <row r="80" spans="1:8">
      <c r="A80" t="s">
        <v>1233</v>
      </c>
      <c r="B80" t="s">
        <v>1040</v>
      </c>
      <c r="C80">
        <v>1974.88</v>
      </c>
      <c r="D80">
        <v>293729.82999999903</v>
      </c>
      <c r="E80">
        <v>0.67</v>
      </c>
      <c r="F80">
        <v>7</v>
      </c>
      <c r="G80">
        <v>2316</v>
      </c>
      <c r="H80">
        <v>0.3</v>
      </c>
    </row>
    <row r="81" spans="1:8">
      <c r="A81" t="s">
        <v>1233</v>
      </c>
      <c r="B81" t="s">
        <v>959</v>
      </c>
      <c r="C81">
        <v>9330.5499999999993</v>
      </c>
      <c r="D81">
        <v>1803168.25</v>
      </c>
      <c r="E81">
        <v>0.52</v>
      </c>
      <c r="F81">
        <v>56</v>
      </c>
      <c r="G81">
        <v>14468</v>
      </c>
      <c r="H81">
        <v>0.39</v>
      </c>
    </row>
    <row r="82" spans="1:8">
      <c r="A82" t="s">
        <v>1233</v>
      </c>
      <c r="B82" t="s">
        <v>948</v>
      </c>
      <c r="C82">
        <v>1197.77999999999</v>
      </c>
      <c r="D82">
        <v>263711.51999999897</v>
      </c>
      <c r="E82">
        <v>0.45</v>
      </c>
      <c r="F82">
        <v>14</v>
      </c>
      <c r="G82">
        <v>2237</v>
      </c>
      <c r="H82">
        <v>0.63</v>
      </c>
    </row>
    <row r="83" spans="1:8">
      <c r="A83" t="s">
        <v>1233</v>
      </c>
      <c r="B83" t="s">
        <v>1027</v>
      </c>
      <c r="C83">
        <v>671.8</v>
      </c>
      <c r="D83">
        <v>155690.51</v>
      </c>
      <c r="E83">
        <v>0.43</v>
      </c>
      <c r="F83">
        <v>4</v>
      </c>
      <c r="G83">
        <v>1047</v>
      </c>
      <c r="H83">
        <v>0.38</v>
      </c>
    </row>
    <row r="84" spans="1:8">
      <c r="A84" t="s">
        <v>1233</v>
      </c>
      <c r="B84" t="s">
        <v>920</v>
      </c>
      <c r="C84">
        <v>2841.27</v>
      </c>
      <c r="D84">
        <v>683400.24999999895</v>
      </c>
      <c r="E84">
        <v>0.42</v>
      </c>
      <c r="F84">
        <v>18</v>
      </c>
      <c r="G84">
        <v>5736</v>
      </c>
      <c r="H84">
        <v>0.31</v>
      </c>
    </row>
    <row r="85" spans="1:8">
      <c r="A85" t="s">
        <v>1233</v>
      </c>
      <c r="B85" t="s">
        <v>1128</v>
      </c>
      <c r="C85">
        <v>902.89</v>
      </c>
      <c r="D85">
        <v>226813.40999999901</v>
      </c>
      <c r="E85">
        <v>0.4</v>
      </c>
      <c r="F85">
        <v>5</v>
      </c>
      <c r="G85">
        <v>1472</v>
      </c>
      <c r="H85">
        <v>0.34</v>
      </c>
    </row>
    <row r="86" spans="1:8">
      <c r="A86" t="s">
        <v>1233</v>
      </c>
      <c r="B86" t="s">
        <v>913</v>
      </c>
      <c r="C86">
        <v>5627.09</v>
      </c>
      <c r="D86">
        <v>1577629.1</v>
      </c>
      <c r="E86">
        <v>0.36</v>
      </c>
      <c r="F86">
        <v>35</v>
      </c>
      <c r="G86">
        <v>13110</v>
      </c>
      <c r="H86">
        <v>0.27</v>
      </c>
    </row>
    <row r="87" spans="1:8">
      <c r="A87" t="s">
        <v>1233</v>
      </c>
      <c r="B87" t="s">
        <v>908</v>
      </c>
      <c r="C87">
        <v>17518.589999999898</v>
      </c>
      <c r="D87">
        <v>5195744.47999998</v>
      </c>
      <c r="E87">
        <v>0.34</v>
      </c>
      <c r="F87">
        <v>144</v>
      </c>
      <c r="G87">
        <v>47399</v>
      </c>
      <c r="H87">
        <v>0.3</v>
      </c>
    </row>
    <row r="88" spans="1:8">
      <c r="A88" t="s">
        <v>1233</v>
      </c>
      <c r="B88" t="s">
        <v>930</v>
      </c>
      <c r="C88">
        <v>1642.46999999999</v>
      </c>
      <c r="D88">
        <v>514179.52999999898</v>
      </c>
      <c r="E88">
        <v>0.32</v>
      </c>
      <c r="F88">
        <v>11</v>
      </c>
      <c r="G88">
        <v>4156</v>
      </c>
      <c r="H88">
        <v>0.26</v>
      </c>
    </row>
    <row r="89" spans="1:8">
      <c r="A89" t="s">
        <v>1233</v>
      </c>
      <c r="B89" t="s">
        <v>1208</v>
      </c>
      <c r="C89">
        <v>568</v>
      </c>
      <c r="D89">
        <v>175925.19</v>
      </c>
      <c r="E89">
        <v>0.32</v>
      </c>
      <c r="F89">
        <v>1</v>
      </c>
      <c r="G89">
        <v>1067</v>
      </c>
      <c r="H89">
        <v>0.09</v>
      </c>
    </row>
    <row r="90" spans="1:8">
      <c r="A90" t="s">
        <v>1233</v>
      </c>
      <c r="B90" t="s">
        <v>925</v>
      </c>
      <c r="C90">
        <v>2245.1999999999998</v>
      </c>
      <c r="D90">
        <v>751552.01999999897</v>
      </c>
      <c r="E90">
        <v>0.3</v>
      </c>
      <c r="F90">
        <v>16</v>
      </c>
      <c r="G90">
        <v>6265</v>
      </c>
      <c r="H90">
        <v>0.26</v>
      </c>
    </row>
    <row r="91" spans="1:8">
      <c r="A91" t="s">
        <v>1233</v>
      </c>
      <c r="B91" t="s">
        <v>1064</v>
      </c>
      <c r="C91">
        <v>1430.69</v>
      </c>
      <c r="D91">
        <v>508609.12999999902</v>
      </c>
      <c r="E91">
        <v>0.28000000000000003</v>
      </c>
      <c r="F91">
        <v>14</v>
      </c>
      <c r="G91">
        <v>3766</v>
      </c>
      <c r="H91">
        <v>0.37</v>
      </c>
    </row>
    <row r="92" spans="1:8">
      <c r="A92" t="s">
        <v>1233</v>
      </c>
      <c r="B92" t="s">
        <v>1179</v>
      </c>
      <c r="C92">
        <v>441.79</v>
      </c>
      <c r="D92">
        <v>261821.53999999899</v>
      </c>
      <c r="E92">
        <v>0.17</v>
      </c>
      <c r="F92">
        <v>4</v>
      </c>
      <c r="G92">
        <v>1796</v>
      </c>
      <c r="H92">
        <v>0.22</v>
      </c>
    </row>
    <row r="93" spans="1:8">
      <c r="A93" t="s">
        <v>1234</v>
      </c>
      <c r="B93" t="s">
        <v>1027</v>
      </c>
      <c r="C93">
        <v>10507.41</v>
      </c>
      <c r="D93">
        <v>155690.51</v>
      </c>
      <c r="E93">
        <v>6.75</v>
      </c>
      <c r="F93">
        <v>56</v>
      </c>
      <c r="G93">
        <v>1047</v>
      </c>
      <c r="H93">
        <v>5.35</v>
      </c>
    </row>
    <row r="94" spans="1:8">
      <c r="A94" t="s">
        <v>1234</v>
      </c>
      <c r="B94" t="s">
        <v>1064</v>
      </c>
      <c r="C94">
        <v>29567.5999999999</v>
      </c>
      <c r="D94">
        <v>508609.12999999902</v>
      </c>
      <c r="E94">
        <v>5.81</v>
      </c>
      <c r="F94">
        <v>157</v>
      </c>
      <c r="G94">
        <v>3766</v>
      </c>
      <c r="H94">
        <v>4.17</v>
      </c>
    </row>
    <row r="95" spans="1:8">
      <c r="A95" t="s">
        <v>1234</v>
      </c>
      <c r="B95" t="s">
        <v>1045</v>
      </c>
      <c r="C95">
        <v>17488.039999999899</v>
      </c>
      <c r="D95">
        <v>303593.40000000002</v>
      </c>
      <c r="E95">
        <v>5.76</v>
      </c>
      <c r="F95">
        <v>113</v>
      </c>
      <c r="G95">
        <v>2416</v>
      </c>
      <c r="H95">
        <v>4.68</v>
      </c>
    </row>
    <row r="96" spans="1:8">
      <c r="A96" t="s">
        <v>1234</v>
      </c>
      <c r="B96" t="s">
        <v>1128</v>
      </c>
      <c r="C96">
        <v>11985.5</v>
      </c>
      <c r="D96">
        <v>226813.40999999901</v>
      </c>
      <c r="E96">
        <v>5.28</v>
      </c>
      <c r="F96">
        <v>59</v>
      </c>
      <c r="G96">
        <v>1472</v>
      </c>
      <c r="H96">
        <v>4.01</v>
      </c>
    </row>
    <row r="97" spans="1:8">
      <c r="A97" t="s">
        <v>1234</v>
      </c>
      <c r="B97" t="s">
        <v>930</v>
      </c>
      <c r="C97">
        <v>25743.279999999901</v>
      </c>
      <c r="D97">
        <v>514179.52999999898</v>
      </c>
      <c r="E97">
        <v>5.01</v>
      </c>
      <c r="F97">
        <v>181</v>
      </c>
      <c r="G97">
        <v>4156</v>
      </c>
      <c r="H97">
        <v>4.3600000000000003</v>
      </c>
    </row>
    <row r="98" spans="1:8">
      <c r="A98" t="s">
        <v>1234</v>
      </c>
      <c r="B98" t="s">
        <v>1179</v>
      </c>
      <c r="C98">
        <v>12339.949999999901</v>
      </c>
      <c r="D98">
        <v>261821.53999999899</v>
      </c>
      <c r="E98">
        <v>4.71</v>
      </c>
      <c r="F98">
        <v>86</v>
      </c>
      <c r="G98">
        <v>1796</v>
      </c>
      <c r="H98">
        <v>4.79</v>
      </c>
    </row>
    <row r="99" spans="1:8">
      <c r="A99" t="s">
        <v>1234</v>
      </c>
      <c r="B99" t="s">
        <v>948</v>
      </c>
      <c r="C99">
        <v>12280.06</v>
      </c>
      <c r="D99">
        <v>263711.51999999897</v>
      </c>
      <c r="E99">
        <v>4.66</v>
      </c>
      <c r="F99">
        <v>89</v>
      </c>
      <c r="G99">
        <v>2237</v>
      </c>
      <c r="H99">
        <v>3.98</v>
      </c>
    </row>
    <row r="100" spans="1:8">
      <c r="A100" t="s">
        <v>1234</v>
      </c>
      <c r="B100" t="s">
        <v>913</v>
      </c>
      <c r="C100">
        <v>72889.360000000102</v>
      </c>
      <c r="D100">
        <v>1577629.1</v>
      </c>
      <c r="E100">
        <v>4.62</v>
      </c>
      <c r="F100">
        <v>514</v>
      </c>
      <c r="G100">
        <v>13110</v>
      </c>
      <c r="H100">
        <v>3.92</v>
      </c>
    </row>
    <row r="101" spans="1:8">
      <c r="A101" t="s">
        <v>1234</v>
      </c>
      <c r="B101" t="s">
        <v>1208</v>
      </c>
      <c r="C101">
        <v>7901.57</v>
      </c>
      <c r="D101">
        <v>175925.19</v>
      </c>
      <c r="E101">
        <v>4.49</v>
      </c>
      <c r="F101">
        <v>53</v>
      </c>
      <c r="G101">
        <v>1067</v>
      </c>
      <c r="H101">
        <v>4.97</v>
      </c>
    </row>
    <row r="102" spans="1:8">
      <c r="A102" t="s">
        <v>1234</v>
      </c>
      <c r="B102" t="s">
        <v>908</v>
      </c>
      <c r="C102">
        <v>214253.58</v>
      </c>
      <c r="D102">
        <v>5195744.47999998</v>
      </c>
      <c r="E102">
        <v>4.12</v>
      </c>
      <c r="F102">
        <v>1747</v>
      </c>
      <c r="G102">
        <v>47399</v>
      </c>
      <c r="H102">
        <v>3.69</v>
      </c>
    </row>
    <row r="103" spans="1:8">
      <c r="A103" t="s">
        <v>1234</v>
      </c>
      <c r="B103" t="s">
        <v>920</v>
      </c>
      <c r="C103">
        <v>28134.019999999899</v>
      </c>
      <c r="D103">
        <v>683400.24999999895</v>
      </c>
      <c r="E103">
        <v>4.12</v>
      </c>
      <c r="F103">
        <v>234</v>
      </c>
      <c r="G103">
        <v>5736</v>
      </c>
      <c r="H103">
        <v>4.08</v>
      </c>
    </row>
    <row r="104" spans="1:8">
      <c r="A104" t="s">
        <v>1234</v>
      </c>
      <c r="B104" t="s">
        <v>959</v>
      </c>
      <c r="C104">
        <v>64573.599999999999</v>
      </c>
      <c r="D104">
        <v>1803168.25</v>
      </c>
      <c r="E104">
        <v>3.58</v>
      </c>
      <c r="F104">
        <v>434</v>
      </c>
      <c r="G104">
        <v>14468</v>
      </c>
      <c r="H104">
        <v>3</v>
      </c>
    </row>
    <row r="105" spans="1:8">
      <c r="A105" t="s">
        <v>1234</v>
      </c>
      <c r="B105" t="s">
        <v>925</v>
      </c>
      <c r="C105">
        <v>26425.119999999901</v>
      </c>
      <c r="D105">
        <v>751552.01999999897</v>
      </c>
      <c r="E105">
        <v>3.52</v>
      </c>
      <c r="F105">
        <v>189</v>
      </c>
      <c r="G105">
        <v>6265</v>
      </c>
      <c r="H105">
        <v>3.02</v>
      </c>
    </row>
    <row r="106" spans="1:8">
      <c r="A106" t="s">
        <v>1234</v>
      </c>
      <c r="B106" t="s">
        <v>1040</v>
      </c>
      <c r="C106">
        <v>9386.75</v>
      </c>
      <c r="D106">
        <v>293729.82999999903</v>
      </c>
      <c r="E106">
        <v>3.2</v>
      </c>
      <c r="F106">
        <v>79</v>
      </c>
      <c r="G106">
        <v>2316</v>
      </c>
      <c r="H106">
        <v>3.41</v>
      </c>
    </row>
    <row r="107" spans="1:8">
      <c r="A107" t="s">
        <v>1235</v>
      </c>
      <c r="B107" t="s">
        <v>1208</v>
      </c>
      <c r="C107">
        <v>9882.75</v>
      </c>
      <c r="D107">
        <v>175925.19</v>
      </c>
      <c r="E107">
        <v>5.62</v>
      </c>
      <c r="F107">
        <v>44</v>
      </c>
      <c r="G107">
        <v>1067</v>
      </c>
      <c r="H107">
        <v>4.12</v>
      </c>
    </row>
    <row r="108" spans="1:8">
      <c r="A108" t="s">
        <v>1235</v>
      </c>
      <c r="B108" t="s">
        <v>1027</v>
      </c>
      <c r="C108">
        <v>6936.53</v>
      </c>
      <c r="D108">
        <v>155690.51</v>
      </c>
      <c r="E108">
        <v>4.46</v>
      </c>
      <c r="F108">
        <v>35</v>
      </c>
      <c r="G108">
        <v>1047</v>
      </c>
      <c r="H108">
        <v>3.34</v>
      </c>
    </row>
    <row r="109" spans="1:8">
      <c r="A109" t="s">
        <v>1235</v>
      </c>
      <c r="B109" t="s">
        <v>925</v>
      </c>
      <c r="C109">
        <v>30483.929999999898</v>
      </c>
      <c r="D109">
        <v>751552.01999999897</v>
      </c>
      <c r="E109">
        <v>4.0599999999999996</v>
      </c>
      <c r="F109">
        <v>211</v>
      </c>
      <c r="G109">
        <v>6265</v>
      </c>
      <c r="H109">
        <v>3.37</v>
      </c>
    </row>
    <row r="110" spans="1:8">
      <c r="A110" t="s">
        <v>1235</v>
      </c>
      <c r="B110" t="s">
        <v>1040</v>
      </c>
      <c r="C110">
        <v>9801.67</v>
      </c>
      <c r="D110">
        <v>293729.82999999903</v>
      </c>
      <c r="E110">
        <v>3.34</v>
      </c>
      <c r="F110">
        <v>56</v>
      </c>
      <c r="G110">
        <v>2316</v>
      </c>
      <c r="H110">
        <v>2.42</v>
      </c>
    </row>
    <row r="111" spans="1:8">
      <c r="A111" t="s">
        <v>1235</v>
      </c>
      <c r="B111" t="s">
        <v>948</v>
      </c>
      <c r="C111">
        <v>8370.65</v>
      </c>
      <c r="D111">
        <v>263711.51999999897</v>
      </c>
      <c r="E111">
        <v>3.17</v>
      </c>
      <c r="F111">
        <v>62</v>
      </c>
      <c r="G111">
        <v>2237</v>
      </c>
      <c r="H111">
        <v>2.77</v>
      </c>
    </row>
    <row r="112" spans="1:8">
      <c r="A112" t="s">
        <v>1235</v>
      </c>
      <c r="B112" t="s">
        <v>920</v>
      </c>
      <c r="C112">
        <v>21424.559999999899</v>
      </c>
      <c r="D112">
        <v>683400.24999999895</v>
      </c>
      <c r="E112">
        <v>3.13</v>
      </c>
      <c r="F112">
        <v>158</v>
      </c>
      <c r="G112">
        <v>5736</v>
      </c>
      <c r="H112">
        <v>2.75</v>
      </c>
    </row>
    <row r="113" spans="1:8">
      <c r="A113" t="s">
        <v>1235</v>
      </c>
      <c r="B113" t="s">
        <v>930</v>
      </c>
      <c r="C113">
        <v>15855.5699999999</v>
      </c>
      <c r="D113">
        <v>514179.52999999898</v>
      </c>
      <c r="E113">
        <v>3.08</v>
      </c>
      <c r="F113">
        <v>111</v>
      </c>
      <c r="G113">
        <v>4156</v>
      </c>
      <c r="H113">
        <v>2.67</v>
      </c>
    </row>
    <row r="114" spans="1:8">
      <c r="A114" t="s">
        <v>1235</v>
      </c>
      <c r="B114" t="s">
        <v>913</v>
      </c>
      <c r="C114">
        <v>47727.279999999897</v>
      </c>
      <c r="D114">
        <v>1577629.1</v>
      </c>
      <c r="E114">
        <v>3.03</v>
      </c>
      <c r="F114">
        <v>372</v>
      </c>
      <c r="G114">
        <v>13110</v>
      </c>
      <c r="H114">
        <v>2.84</v>
      </c>
    </row>
    <row r="115" spans="1:8">
      <c r="A115" t="s">
        <v>1235</v>
      </c>
      <c r="B115" t="s">
        <v>908</v>
      </c>
      <c r="C115">
        <v>155666.29</v>
      </c>
      <c r="D115">
        <v>5195744.47999998</v>
      </c>
      <c r="E115">
        <v>3</v>
      </c>
      <c r="F115">
        <v>1267</v>
      </c>
      <c r="G115">
        <v>47399</v>
      </c>
      <c r="H115">
        <v>2.67</v>
      </c>
    </row>
    <row r="116" spans="1:8">
      <c r="A116" t="s">
        <v>1235</v>
      </c>
      <c r="B116" t="s">
        <v>1064</v>
      </c>
      <c r="C116">
        <v>15222.4299999999</v>
      </c>
      <c r="D116">
        <v>508609.12999999902</v>
      </c>
      <c r="E116">
        <v>2.99</v>
      </c>
      <c r="F116">
        <v>96</v>
      </c>
      <c r="G116">
        <v>3766</v>
      </c>
      <c r="H116">
        <v>2.5499999999999998</v>
      </c>
    </row>
    <row r="117" spans="1:8">
      <c r="A117" t="s">
        <v>1235</v>
      </c>
      <c r="B117" t="s">
        <v>1045</v>
      </c>
      <c r="C117">
        <v>8593.3700000000008</v>
      </c>
      <c r="D117">
        <v>303593.40000000002</v>
      </c>
      <c r="E117">
        <v>2.83</v>
      </c>
      <c r="F117">
        <v>68</v>
      </c>
      <c r="G117">
        <v>2416</v>
      </c>
      <c r="H117">
        <v>2.81</v>
      </c>
    </row>
    <row r="118" spans="1:8">
      <c r="A118" t="s">
        <v>1235</v>
      </c>
      <c r="B118" t="s">
        <v>959</v>
      </c>
      <c r="C118">
        <v>41953.839999999902</v>
      </c>
      <c r="D118">
        <v>1803168.25</v>
      </c>
      <c r="E118">
        <v>2.33</v>
      </c>
      <c r="F118">
        <v>355</v>
      </c>
      <c r="G118">
        <v>14468</v>
      </c>
      <c r="H118">
        <v>2.4500000000000002</v>
      </c>
    </row>
    <row r="119" spans="1:8">
      <c r="A119" t="s">
        <v>1235</v>
      </c>
      <c r="B119" t="s">
        <v>1128</v>
      </c>
      <c r="C119">
        <v>4548.24</v>
      </c>
      <c r="D119">
        <v>226813.40999999901</v>
      </c>
      <c r="E119">
        <v>2.0099999999999998</v>
      </c>
      <c r="F119">
        <v>31</v>
      </c>
      <c r="G119">
        <v>1472</v>
      </c>
      <c r="H119">
        <v>2.11</v>
      </c>
    </row>
    <row r="120" spans="1:8">
      <c r="A120" t="s">
        <v>1235</v>
      </c>
      <c r="B120" t="s">
        <v>1179</v>
      </c>
      <c r="C120">
        <v>4779.42</v>
      </c>
      <c r="D120">
        <v>261821.53999999899</v>
      </c>
      <c r="E120">
        <v>1.83</v>
      </c>
      <c r="F120">
        <v>40</v>
      </c>
      <c r="G120">
        <v>1796</v>
      </c>
      <c r="H120">
        <v>2.23</v>
      </c>
    </row>
    <row r="121" spans="1:8">
      <c r="A121" t="s">
        <v>1236</v>
      </c>
      <c r="B121" t="s">
        <v>959</v>
      </c>
      <c r="C121">
        <v>5604.8199999999897</v>
      </c>
      <c r="D121">
        <v>1803168.25</v>
      </c>
      <c r="E121">
        <v>0.31</v>
      </c>
      <c r="F121">
        <v>55</v>
      </c>
      <c r="G121">
        <v>14468</v>
      </c>
      <c r="H121">
        <v>0.38</v>
      </c>
    </row>
    <row r="122" spans="1:8">
      <c r="A122" t="s">
        <v>1236</v>
      </c>
      <c r="B122" t="s">
        <v>920</v>
      </c>
      <c r="C122">
        <v>1449.32</v>
      </c>
      <c r="D122">
        <v>683400.24999999895</v>
      </c>
      <c r="E122">
        <v>0.21</v>
      </c>
      <c r="F122">
        <v>15</v>
      </c>
      <c r="G122">
        <v>5736</v>
      </c>
      <c r="H122">
        <v>0.26</v>
      </c>
    </row>
    <row r="123" spans="1:8">
      <c r="A123" t="s">
        <v>1236</v>
      </c>
      <c r="B123" t="s">
        <v>948</v>
      </c>
      <c r="C123">
        <v>546.41999999999996</v>
      </c>
      <c r="D123">
        <v>263711.51999999897</v>
      </c>
      <c r="E123">
        <v>0.21</v>
      </c>
      <c r="F123">
        <v>5</v>
      </c>
      <c r="G123">
        <v>2237</v>
      </c>
      <c r="H123">
        <v>0.22</v>
      </c>
    </row>
    <row r="124" spans="1:8">
      <c r="A124" t="s">
        <v>1236</v>
      </c>
      <c r="B124" t="s">
        <v>908</v>
      </c>
      <c r="C124">
        <v>9202.3199999999906</v>
      </c>
      <c r="D124">
        <v>5195744.47999998</v>
      </c>
      <c r="E124">
        <v>0.18</v>
      </c>
      <c r="F124">
        <v>215</v>
      </c>
      <c r="G124">
        <v>47399</v>
      </c>
      <c r="H124">
        <v>0.45</v>
      </c>
    </row>
    <row r="125" spans="1:8">
      <c r="A125" t="s">
        <v>1236</v>
      </c>
      <c r="B125" t="s">
        <v>930</v>
      </c>
      <c r="C125">
        <v>891.91</v>
      </c>
      <c r="D125">
        <v>514179.52999999898</v>
      </c>
      <c r="E125">
        <v>0.17</v>
      </c>
      <c r="F125">
        <v>14</v>
      </c>
      <c r="G125">
        <v>4156</v>
      </c>
      <c r="H125">
        <v>0.34</v>
      </c>
    </row>
    <row r="126" spans="1:8">
      <c r="A126" t="s">
        <v>1236</v>
      </c>
      <c r="B126" t="s">
        <v>925</v>
      </c>
      <c r="C126">
        <v>1073.44</v>
      </c>
      <c r="D126">
        <v>751552.01999999897</v>
      </c>
      <c r="E126">
        <v>0.14000000000000001</v>
      </c>
      <c r="F126">
        <v>18</v>
      </c>
      <c r="G126">
        <v>6265</v>
      </c>
      <c r="H126">
        <v>0.28999999999999998</v>
      </c>
    </row>
    <row r="127" spans="1:8">
      <c r="A127" t="s">
        <v>1236</v>
      </c>
      <c r="B127" t="s">
        <v>1040</v>
      </c>
      <c r="C127">
        <v>385.57</v>
      </c>
      <c r="D127">
        <v>293729.82999999903</v>
      </c>
      <c r="E127">
        <v>0.13</v>
      </c>
      <c r="F127">
        <v>7</v>
      </c>
      <c r="G127">
        <v>2316</v>
      </c>
      <c r="H127">
        <v>0.3</v>
      </c>
    </row>
    <row r="128" spans="1:8">
      <c r="A128" t="s">
        <v>1236</v>
      </c>
      <c r="B128" t="s">
        <v>913</v>
      </c>
      <c r="C128">
        <v>1940.6</v>
      </c>
      <c r="D128">
        <v>1577629.1</v>
      </c>
      <c r="E128">
        <v>0.12</v>
      </c>
      <c r="F128">
        <v>26</v>
      </c>
      <c r="G128">
        <v>13110</v>
      </c>
      <c r="H128">
        <v>0.2</v>
      </c>
    </row>
    <row r="129" spans="1:8">
      <c r="A129" t="s">
        <v>1236</v>
      </c>
      <c r="B129" t="s">
        <v>1045</v>
      </c>
      <c r="C129">
        <v>292.37</v>
      </c>
      <c r="D129">
        <v>303593.40000000002</v>
      </c>
      <c r="E129">
        <v>0.1</v>
      </c>
      <c r="F129">
        <v>5</v>
      </c>
      <c r="G129">
        <v>2416</v>
      </c>
      <c r="H129">
        <v>0.21</v>
      </c>
    </row>
    <row r="130" spans="1:8">
      <c r="A130" t="s">
        <v>1236</v>
      </c>
      <c r="B130" t="s">
        <v>1064</v>
      </c>
      <c r="C130">
        <v>401.289999999999</v>
      </c>
      <c r="D130">
        <v>508609.12999999902</v>
      </c>
      <c r="E130">
        <v>0.08</v>
      </c>
      <c r="F130">
        <v>5</v>
      </c>
      <c r="G130">
        <v>3766</v>
      </c>
      <c r="H130">
        <v>0.13</v>
      </c>
    </row>
    <row r="131" spans="1:8">
      <c r="A131" t="s">
        <v>1236</v>
      </c>
      <c r="B131" t="s">
        <v>1128</v>
      </c>
      <c r="C131">
        <v>150.47</v>
      </c>
      <c r="D131">
        <v>226813.40999999901</v>
      </c>
      <c r="E131">
        <v>7.0000000000000007E-2</v>
      </c>
      <c r="F131">
        <v>3</v>
      </c>
      <c r="G131">
        <v>1472</v>
      </c>
      <c r="H131">
        <v>0.2</v>
      </c>
    </row>
    <row r="132" spans="1:8">
      <c r="A132" t="s">
        <v>1236</v>
      </c>
      <c r="B132" t="s">
        <v>1208</v>
      </c>
      <c r="C132">
        <v>105</v>
      </c>
      <c r="D132">
        <v>175925.19</v>
      </c>
      <c r="E132">
        <v>0.06</v>
      </c>
      <c r="F132">
        <v>1</v>
      </c>
      <c r="G132">
        <v>1067</v>
      </c>
      <c r="H132">
        <v>0.09</v>
      </c>
    </row>
    <row r="133" spans="1:8">
      <c r="A133" t="s">
        <v>1236</v>
      </c>
      <c r="B133" t="s">
        <v>1027</v>
      </c>
      <c r="C133">
        <v>19.489999999999998</v>
      </c>
      <c r="D133">
        <v>155690.51</v>
      </c>
      <c r="E133">
        <v>0.01</v>
      </c>
      <c r="F133">
        <v>1</v>
      </c>
      <c r="G133">
        <v>1047</v>
      </c>
      <c r="H133">
        <v>0.1</v>
      </c>
    </row>
    <row r="134" spans="1:8">
      <c r="A134" t="s">
        <v>1237</v>
      </c>
      <c r="B134" t="s">
        <v>1179</v>
      </c>
      <c r="C134">
        <v>41523.5099999999</v>
      </c>
      <c r="D134">
        <v>261821.53999999899</v>
      </c>
      <c r="E134">
        <v>15.86</v>
      </c>
      <c r="F134">
        <v>237</v>
      </c>
      <c r="G134">
        <v>1796</v>
      </c>
      <c r="H134">
        <v>13.2</v>
      </c>
    </row>
    <row r="135" spans="1:8">
      <c r="A135" t="s">
        <v>1237</v>
      </c>
      <c r="B135" t="s">
        <v>1128</v>
      </c>
      <c r="C135">
        <v>32055.5799999999</v>
      </c>
      <c r="D135">
        <v>226813.40999999901</v>
      </c>
      <c r="E135">
        <v>14.13</v>
      </c>
      <c r="F135">
        <v>165</v>
      </c>
      <c r="G135">
        <v>1472</v>
      </c>
      <c r="H135">
        <v>11.21</v>
      </c>
    </row>
    <row r="136" spans="1:8">
      <c r="A136" t="s">
        <v>1237</v>
      </c>
      <c r="B136" t="s">
        <v>1208</v>
      </c>
      <c r="C136">
        <v>23935.819999999901</v>
      </c>
      <c r="D136">
        <v>175925.19</v>
      </c>
      <c r="E136">
        <v>13.61</v>
      </c>
      <c r="F136">
        <v>108</v>
      </c>
      <c r="G136">
        <v>1067</v>
      </c>
      <c r="H136">
        <v>10.119999999999999</v>
      </c>
    </row>
    <row r="137" spans="1:8">
      <c r="A137" t="s">
        <v>1237</v>
      </c>
      <c r="B137" t="s">
        <v>1064</v>
      </c>
      <c r="C137">
        <v>50969.919999999896</v>
      </c>
      <c r="D137">
        <v>508609.12999999902</v>
      </c>
      <c r="E137">
        <v>10.02</v>
      </c>
      <c r="F137">
        <v>346</v>
      </c>
      <c r="G137">
        <v>3766</v>
      </c>
      <c r="H137">
        <v>9.19</v>
      </c>
    </row>
    <row r="138" spans="1:8">
      <c r="A138" t="s">
        <v>1237</v>
      </c>
      <c r="B138" t="s">
        <v>913</v>
      </c>
      <c r="C138">
        <v>156174.39999999999</v>
      </c>
      <c r="D138">
        <v>1577629.1</v>
      </c>
      <c r="E138">
        <v>9.9</v>
      </c>
      <c r="F138">
        <v>1081</v>
      </c>
      <c r="G138">
        <v>13110</v>
      </c>
      <c r="H138">
        <v>8.25</v>
      </c>
    </row>
    <row r="139" spans="1:8">
      <c r="A139" t="s">
        <v>1237</v>
      </c>
      <c r="B139" t="s">
        <v>1027</v>
      </c>
      <c r="C139">
        <v>15301.789999999901</v>
      </c>
      <c r="D139">
        <v>155690.51</v>
      </c>
      <c r="E139">
        <v>9.83</v>
      </c>
      <c r="F139">
        <v>90</v>
      </c>
      <c r="G139">
        <v>1047</v>
      </c>
      <c r="H139">
        <v>8.6</v>
      </c>
    </row>
    <row r="140" spans="1:8">
      <c r="A140" t="s">
        <v>1237</v>
      </c>
      <c r="B140" t="s">
        <v>1040</v>
      </c>
      <c r="C140">
        <v>28771.299999999901</v>
      </c>
      <c r="D140">
        <v>293729.82999999903</v>
      </c>
      <c r="E140">
        <v>9.8000000000000007</v>
      </c>
      <c r="F140">
        <v>230</v>
      </c>
      <c r="G140">
        <v>2316</v>
      </c>
      <c r="H140">
        <v>9.93</v>
      </c>
    </row>
    <row r="141" spans="1:8">
      <c r="A141" t="s">
        <v>1237</v>
      </c>
      <c r="B141" t="s">
        <v>1045</v>
      </c>
      <c r="C141">
        <v>29713.819999999901</v>
      </c>
      <c r="D141">
        <v>303593.40000000002</v>
      </c>
      <c r="E141">
        <v>9.7899999999999991</v>
      </c>
      <c r="F141">
        <v>245</v>
      </c>
      <c r="G141">
        <v>2416</v>
      </c>
      <c r="H141">
        <v>10.14</v>
      </c>
    </row>
    <row r="142" spans="1:8">
      <c r="A142" t="s">
        <v>1237</v>
      </c>
      <c r="B142" t="s">
        <v>908</v>
      </c>
      <c r="C142">
        <v>459480.32999999699</v>
      </c>
      <c r="D142">
        <v>5195744.47999998</v>
      </c>
      <c r="E142">
        <v>8.84</v>
      </c>
      <c r="F142">
        <v>4189</v>
      </c>
      <c r="G142">
        <v>47399</v>
      </c>
      <c r="H142">
        <v>8.84</v>
      </c>
    </row>
    <row r="143" spans="1:8">
      <c r="A143" t="s">
        <v>1237</v>
      </c>
      <c r="B143" t="s">
        <v>920</v>
      </c>
      <c r="C143">
        <v>54825.46</v>
      </c>
      <c r="D143">
        <v>683400.24999999895</v>
      </c>
      <c r="E143">
        <v>8.02</v>
      </c>
      <c r="F143">
        <v>423</v>
      </c>
      <c r="G143">
        <v>5736</v>
      </c>
      <c r="H143">
        <v>7.37</v>
      </c>
    </row>
    <row r="144" spans="1:8">
      <c r="A144" t="s">
        <v>1237</v>
      </c>
      <c r="B144" t="s">
        <v>959</v>
      </c>
      <c r="C144">
        <v>143432.07</v>
      </c>
      <c r="D144">
        <v>1803168.25</v>
      </c>
      <c r="E144">
        <v>7.95</v>
      </c>
      <c r="F144">
        <v>1060</v>
      </c>
      <c r="G144">
        <v>14468</v>
      </c>
      <c r="H144">
        <v>7.33</v>
      </c>
    </row>
    <row r="145" spans="1:8">
      <c r="A145" t="s">
        <v>1237</v>
      </c>
      <c r="B145" t="s">
        <v>930</v>
      </c>
      <c r="C145">
        <v>39530.359999999899</v>
      </c>
      <c r="D145">
        <v>514179.52999999898</v>
      </c>
      <c r="E145">
        <v>7.69</v>
      </c>
      <c r="F145">
        <v>307</v>
      </c>
      <c r="G145">
        <v>4156</v>
      </c>
      <c r="H145">
        <v>7.39</v>
      </c>
    </row>
    <row r="146" spans="1:8">
      <c r="A146" t="s">
        <v>1237</v>
      </c>
      <c r="B146" t="s">
        <v>948</v>
      </c>
      <c r="C146">
        <v>20094.589999999898</v>
      </c>
      <c r="D146">
        <v>263711.51999999897</v>
      </c>
      <c r="E146">
        <v>7.62</v>
      </c>
      <c r="F146">
        <v>164</v>
      </c>
      <c r="G146">
        <v>2237</v>
      </c>
      <c r="H146">
        <v>7.33</v>
      </c>
    </row>
    <row r="147" spans="1:8">
      <c r="A147" t="s">
        <v>1237</v>
      </c>
      <c r="B147" t="s">
        <v>925</v>
      </c>
      <c r="C147">
        <v>51864.069999999898</v>
      </c>
      <c r="D147">
        <v>751552.01999999897</v>
      </c>
      <c r="E147">
        <v>6.9</v>
      </c>
      <c r="F147">
        <v>446</v>
      </c>
      <c r="G147">
        <v>6265</v>
      </c>
      <c r="H147">
        <v>7.12</v>
      </c>
    </row>
    <row r="148" spans="1:8">
      <c r="A148" t="s">
        <v>1238</v>
      </c>
      <c r="B148" t="s">
        <v>959</v>
      </c>
      <c r="C148">
        <v>72566.010000000097</v>
      </c>
      <c r="D148">
        <v>1803168.25</v>
      </c>
      <c r="E148">
        <v>4.0199999999999996</v>
      </c>
      <c r="F148">
        <v>580</v>
      </c>
      <c r="G148">
        <v>14468</v>
      </c>
      <c r="H148">
        <v>4.01</v>
      </c>
    </row>
    <row r="149" spans="1:8">
      <c r="A149" t="s">
        <v>1238</v>
      </c>
      <c r="B149" t="s">
        <v>948</v>
      </c>
      <c r="C149">
        <v>10507.6599999999</v>
      </c>
      <c r="D149">
        <v>263711.51999999897</v>
      </c>
      <c r="E149">
        <v>3.98</v>
      </c>
      <c r="F149">
        <v>96</v>
      </c>
      <c r="G149">
        <v>2237</v>
      </c>
      <c r="H149">
        <v>4.29</v>
      </c>
    </row>
    <row r="150" spans="1:8">
      <c r="A150" t="s">
        <v>1238</v>
      </c>
      <c r="B150" t="s">
        <v>1045</v>
      </c>
      <c r="C150">
        <v>11791.8499999999</v>
      </c>
      <c r="D150">
        <v>303593.40000000002</v>
      </c>
      <c r="E150">
        <v>3.88</v>
      </c>
      <c r="F150">
        <v>97</v>
      </c>
      <c r="G150">
        <v>2416</v>
      </c>
      <c r="H150">
        <v>4.01</v>
      </c>
    </row>
    <row r="151" spans="1:8">
      <c r="A151" t="s">
        <v>1238</v>
      </c>
      <c r="B151" t="s">
        <v>925</v>
      </c>
      <c r="C151">
        <v>28667.619999999901</v>
      </c>
      <c r="D151">
        <v>751552.01999999897</v>
      </c>
      <c r="E151">
        <v>3.81</v>
      </c>
      <c r="F151">
        <v>211</v>
      </c>
      <c r="G151">
        <v>6265</v>
      </c>
      <c r="H151">
        <v>3.37</v>
      </c>
    </row>
    <row r="152" spans="1:8">
      <c r="A152" t="s">
        <v>1238</v>
      </c>
      <c r="B152" t="s">
        <v>1027</v>
      </c>
      <c r="C152">
        <v>5857.16</v>
      </c>
      <c r="D152">
        <v>155690.51</v>
      </c>
      <c r="E152">
        <v>3.76</v>
      </c>
      <c r="F152">
        <v>44</v>
      </c>
      <c r="G152">
        <v>1047</v>
      </c>
      <c r="H152">
        <v>4.2</v>
      </c>
    </row>
    <row r="153" spans="1:8">
      <c r="A153" t="s">
        <v>1238</v>
      </c>
      <c r="B153" t="s">
        <v>913</v>
      </c>
      <c r="C153">
        <v>58782.400000000001</v>
      </c>
      <c r="D153">
        <v>1577629.1</v>
      </c>
      <c r="E153">
        <v>3.73</v>
      </c>
      <c r="F153">
        <v>492</v>
      </c>
      <c r="G153">
        <v>13110</v>
      </c>
      <c r="H153">
        <v>3.75</v>
      </c>
    </row>
    <row r="154" spans="1:8">
      <c r="A154" t="s">
        <v>1238</v>
      </c>
      <c r="B154" t="s">
        <v>908</v>
      </c>
      <c r="C154">
        <v>184276.15</v>
      </c>
      <c r="D154">
        <v>5195744.47999998</v>
      </c>
      <c r="E154">
        <v>3.55</v>
      </c>
      <c r="F154">
        <v>1702</v>
      </c>
      <c r="G154">
        <v>47399</v>
      </c>
      <c r="H154">
        <v>3.59</v>
      </c>
    </row>
    <row r="155" spans="1:8">
      <c r="A155" t="s">
        <v>1238</v>
      </c>
      <c r="B155" t="s">
        <v>920</v>
      </c>
      <c r="C155">
        <v>23624.129999999899</v>
      </c>
      <c r="D155">
        <v>683400.24999999895</v>
      </c>
      <c r="E155">
        <v>3.46</v>
      </c>
      <c r="F155">
        <v>202</v>
      </c>
      <c r="G155">
        <v>5736</v>
      </c>
      <c r="H155">
        <v>3.52</v>
      </c>
    </row>
    <row r="156" spans="1:8">
      <c r="A156" t="s">
        <v>1238</v>
      </c>
      <c r="B156" t="s">
        <v>1128</v>
      </c>
      <c r="C156">
        <v>7839.3</v>
      </c>
      <c r="D156">
        <v>226813.40999999901</v>
      </c>
      <c r="E156">
        <v>3.46</v>
      </c>
      <c r="F156">
        <v>65</v>
      </c>
      <c r="G156">
        <v>1472</v>
      </c>
      <c r="H156">
        <v>4.42</v>
      </c>
    </row>
    <row r="157" spans="1:8">
      <c r="A157" t="s">
        <v>1238</v>
      </c>
      <c r="B157" t="s">
        <v>1179</v>
      </c>
      <c r="C157">
        <v>8949.2000000000007</v>
      </c>
      <c r="D157">
        <v>261821.53999999899</v>
      </c>
      <c r="E157">
        <v>3.42</v>
      </c>
      <c r="F157">
        <v>64</v>
      </c>
      <c r="G157">
        <v>1796</v>
      </c>
      <c r="H157">
        <v>3.56</v>
      </c>
    </row>
    <row r="158" spans="1:8">
      <c r="A158" t="s">
        <v>1238</v>
      </c>
      <c r="B158" t="s">
        <v>930</v>
      </c>
      <c r="C158">
        <v>15712.3499999999</v>
      </c>
      <c r="D158">
        <v>514179.52999999898</v>
      </c>
      <c r="E158">
        <v>3.06</v>
      </c>
      <c r="F158">
        <v>119</v>
      </c>
      <c r="G158">
        <v>4156</v>
      </c>
      <c r="H158">
        <v>2.86</v>
      </c>
    </row>
    <row r="159" spans="1:8">
      <c r="A159" t="s">
        <v>1238</v>
      </c>
      <c r="B159" t="s">
        <v>1064</v>
      </c>
      <c r="C159">
        <v>14641.9399999999</v>
      </c>
      <c r="D159">
        <v>508609.12999999902</v>
      </c>
      <c r="E159">
        <v>2.88</v>
      </c>
      <c r="F159">
        <v>116</v>
      </c>
      <c r="G159">
        <v>3766</v>
      </c>
      <c r="H159">
        <v>3.08</v>
      </c>
    </row>
    <row r="160" spans="1:8">
      <c r="A160" t="s">
        <v>1238</v>
      </c>
      <c r="B160" t="s">
        <v>1040</v>
      </c>
      <c r="C160">
        <v>7913.8699999999899</v>
      </c>
      <c r="D160">
        <v>293729.82999999903</v>
      </c>
      <c r="E160">
        <v>2.69</v>
      </c>
      <c r="F160">
        <v>83</v>
      </c>
      <c r="G160">
        <v>2316</v>
      </c>
      <c r="H160">
        <v>3.58</v>
      </c>
    </row>
    <row r="161" spans="1:8">
      <c r="A161" t="s">
        <v>1238</v>
      </c>
      <c r="B161" t="s">
        <v>1208</v>
      </c>
      <c r="C161">
        <v>3836.62</v>
      </c>
      <c r="D161">
        <v>175925.19</v>
      </c>
      <c r="E161">
        <v>2.1800000000000002</v>
      </c>
      <c r="F161">
        <v>29</v>
      </c>
      <c r="G161">
        <v>1067</v>
      </c>
      <c r="H161">
        <v>2.72</v>
      </c>
    </row>
    <row r="162" spans="1:8">
      <c r="A162" t="s">
        <v>1239</v>
      </c>
      <c r="B162" t="s">
        <v>908</v>
      </c>
      <c r="C162">
        <v>479686.16999999201</v>
      </c>
      <c r="D162">
        <v>5195744.47999998</v>
      </c>
      <c r="E162">
        <v>9.23</v>
      </c>
      <c r="F162">
        <v>5260</v>
      </c>
      <c r="G162">
        <v>47399</v>
      </c>
      <c r="H162">
        <v>11.1</v>
      </c>
    </row>
    <row r="163" spans="1:8">
      <c r="A163" t="s">
        <v>1239</v>
      </c>
      <c r="B163" t="s">
        <v>948</v>
      </c>
      <c r="C163">
        <v>22704.339999999898</v>
      </c>
      <c r="D163">
        <v>263711.51999999897</v>
      </c>
      <c r="E163">
        <v>8.61</v>
      </c>
      <c r="F163">
        <v>226</v>
      </c>
      <c r="G163">
        <v>2237</v>
      </c>
      <c r="H163">
        <v>10.1</v>
      </c>
    </row>
    <row r="164" spans="1:8">
      <c r="A164" t="s">
        <v>1239</v>
      </c>
      <c r="B164" t="s">
        <v>913</v>
      </c>
      <c r="C164">
        <v>130221.9</v>
      </c>
      <c r="D164">
        <v>1577629.1</v>
      </c>
      <c r="E164">
        <v>8.25</v>
      </c>
      <c r="F164">
        <v>1334</v>
      </c>
      <c r="G164">
        <v>13110</v>
      </c>
      <c r="H164">
        <v>10.18</v>
      </c>
    </row>
    <row r="165" spans="1:8">
      <c r="A165" t="s">
        <v>1239</v>
      </c>
      <c r="B165" t="s">
        <v>959</v>
      </c>
      <c r="C165">
        <v>147133.65</v>
      </c>
      <c r="D165">
        <v>1803168.25</v>
      </c>
      <c r="E165">
        <v>8.16</v>
      </c>
      <c r="F165">
        <v>1620</v>
      </c>
      <c r="G165">
        <v>14468</v>
      </c>
      <c r="H165">
        <v>11.2</v>
      </c>
    </row>
    <row r="166" spans="1:8">
      <c r="A166" t="s">
        <v>1239</v>
      </c>
      <c r="B166" t="s">
        <v>925</v>
      </c>
      <c r="C166">
        <v>60785.3</v>
      </c>
      <c r="D166">
        <v>751552.01999999897</v>
      </c>
      <c r="E166">
        <v>8.09</v>
      </c>
      <c r="F166">
        <v>620</v>
      </c>
      <c r="G166">
        <v>6265</v>
      </c>
      <c r="H166">
        <v>9.9</v>
      </c>
    </row>
    <row r="167" spans="1:8">
      <c r="A167" t="s">
        <v>1239</v>
      </c>
      <c r="B167" t="s">
        <v>1040</v>
      </c>
      <c r="C167">
        <v>23335.789999999899</v>
      </c>
      <c r="D167">
        <v>293729.82999999903</v>
      </c>
      <c r="E167">
        <v>7.94</v>
      </c>
      <c r="F167">
        <v>241</v>
      </c>
      <c r="G167">
        <v>2316</v>
      </c>
      <c r="H167">
        <v>10.41</v>
      </c>
    </row>
    <row r="168" spans="1:8">
      <c r="A168" t="s">
        <v>1239</v>
      </c>
      <c r="B168" t="s">
        <v>920</v>
      </c>
      <c r="C168">
        <v>46344.229999999901</v>
      </c>
      <c r="D168">
        <v>683400.24999999895</v>
      </c>
      <c r="E168">
        <v>6.78</v>
      </c>
      <c r="F168">
        <v>470</v>
      </c>
      <c r="G168">
        <v>5736</v>
      </c>
      <c r="H168">
        <v>8.19</v>
      </c>
    </row>
    <row r="169" spans="1:8">
      <c r="A169" t="s">
        <v>1239</v>
      </c>
      <c r="B169" t="s">
        <v>930</v>
      </c>
      <c r="C169">
        <v>31708.909999999902</v>
      </c>
      <c r="D169">
        <v>514179.52999999898</v>
      </c>
      <c r="E169">
        <v>6.17</v>
      </c>
      <c r="F169">
        <v>334</v>
      </c>
      <c r="G169">
        <v>4156</v>
      </c>
      <c r="H169">
        <v>8.0399999999999991</v>
      </c>
    </row>
    <row r="170" spans="1:8">
      <c r="A170" t="s">
        <v>1239</v>
      </c>
      <c r="B170" t="s">
        <v>1045</v>
      </c>
      <c r="C170">
        <v>16823.289999999899</v>
      </c>
      <c r="D170">
        <v>303593.40000000002</v>
      </c>
      <c r="E170">
        <v>5.54</v>
      </c>
      <c r="F170">
        <v>213</v>
      </c>
      <c r="G170">
        <v>2416</v>
      </c>
      <c r="H170">
        <v>8.82</v>
      </c>
    </row>
    <row r="171" spans="1:8">
      <c r="A171" t="s">
        <v>1239</v>
      </c>
      <c r="B171" t="s">
        <v>1064</v>
      </c>
      <c r="C171">
        <v>25261.369999999901</v>
      </c>
      <c r="D171">
        <v>508609.12999999902</v>
      </c>
      <c r="E171">
        <v>4.97</v>
      </c>
      <c r="F171">
        <v>258</v>
      </c>
      <c r="G171">
        <v>3766</v>
      </c>
      <c r="H171">
        <v>6.85</v>
      </c>
    </row>
    <row r="172" spans="1:8">
      <c r="A172" t="s">
        <v>1239</v>
      </c>
      <c r="B172" t="s">
        <v>1027</v>
      </c>
      <c r="C172">
        <v>7108.49</v>
      </c>
      <c r="D172">
        <v>155690.51</v>
      </c>
      <c r="E172">
        <v>4.57</v>
      </c>
      <c r="F172">
        <v>70</v>
      </c>
      <c r="G172">
        <v>1047</v>
      </c>
      <c r="H172">
        <v>6.69</v>
      </c>
    </row>
    <row r="173" spans="1:8">
      <c r="A173" t="s">
        <v>1239</v>
      </c>
      <c r="B173" t="s">
        <v>1179</v>
      </c>
      <c r="C173">
        <v>9169.6200000000008</v>
      </c>
      <c r="D173">
        <v>261821.53999999899</v>
      </c>
      <c r="E173">
        <v>3.5</v>
      </c>
      <c r="F173">
        <v>90</v>
      </c>
      <c r="G173">
        <v>1796</v>
      </c>
      <c r="H173">
        <v>5.01</v>
      </c>
    </row>
    <row r="174" spans="1:8">
      <c r="A174" t="s">
        <v>1239</v>
      </c>
      <c r="B174" t="s">
        <v>1128</v>
      </c>
      <c r="C174">
        <v>7020.79</v>
      </c>
      <c r="D174">
        <v>226813.40999999901</v>
      </c>
      <c r="E174">
        <v>3.1</v>
      </c>
      <c r="F174">
        <v>83</v>
      </c>
      <c r="G174">
        <v>1472</v>
      </c>
      <c r="H174">
        <v>5.64</v>
      </c>
    </row>
    <row r="175" spans="1:8">
      <c r="A175" t="s">
        <v>1239</v>
      </c>
      <c r="B175" t="s">
        <v>1208</v>
      </c>
      <c r="C175">
        <v>3506.53999999999</v>
      </c>
      <c r="D175">
        <v>175925.19</v>
      </c>
      <c r="E175">
        <v>1.99</v>
      </c>
      <c r="F175">
        <v>38</v>
      </c>
      <c r="G175">
        <v>1067</v>
      </c>
      <c r="H175">
        <v>3.56</v>
      </c>
    </row>
    <row r="176" spans="1:8">
      <c r="A176" t="s">
        <v>1240</v>
      </c>
      <c r="B176" t="s">
        <v>948</v>
      </c>
      <c r="C176">
        <v>1538.1799999999901</v>
      </c>
      <c r="D176">
        <v>263711.51999999897</v>
      </c>
      <c r="E176">
        <v>0.57999999999999996</v>
      </c>
      <c r="F176">
        <v>12</v>
      </c>
      <c r="G176">
        <v>2237</v>
      </c>
      <c r="H176">
        <v>0.54</v>
      </c>
    </row>
    <row r="177" spans="1:8">
      <c r="A177" t="s">
        <v>1240</v>
      </c>
      <c r="B177" t="s">
        <v>913</v>
      </c>
      <c r="C177">
        <v>8264.39</v>
      </c>
      <c r="D177">
        <v>1577629.1</v>
      </c>
      <c r="E177">
        <v>0.52</v>
      </c>
      <c r="F177">
        <v>59</v>
      </c>
      <c r="G177">
        <v>13110</v>
      </c>
      <c r="H177">
        <v>0.45</v>
      </c>
    </row>
    <row r="178" spans="1:8">
      <c r="A178" t="s">
        <v>1240</v>
      </c>
      <c r="B178" t="s">
        <v>908</v>
      </c>
      <c r="C178">
        <v>26734.629999999899</v>
      </c>
      <c r="D178">
        <v>5195744.47999998</v>
      </c>
      <c r="E178">
        <v>0.51</v>
      </c>
      <c r="F178">
        <v>203</v>
      </c>
      <c r="G178">
        <v>47399</v>
      </c>
      <c r="H178">
        <v>0.43</v>
      </c>
    </row>
    <row r="179" spans="1:8">
      <c r="A179" t="s">
        <v>1240</v>
      </c>
      <c r="B179" t="s">
        <v>1027</v>
      </c>
      <c r="C179">
        <v>687.8</v>
      </c>
      <c r="D179">
        <v>155690.51</v>
      </c>
      <c r="E179">
        <v>0.44</v>
      </c>
      <c r="F179">
        <v>4</v>
      </c>
      <c r="G179">
        <v>1047</v>
      </c>
      <c r="H179">
        <v>0.38</v>
      </c>
    </row>
    <row r="180" spans="1:8">
      <c r="A180" t="s">
        <v>1240</v>
      </c>
      <c r="B180" t="s">
        <v>959</v>
      </c>
      <c r="C180">
        <v>7776.97</v>
      </c>
      <c r="D180">
        <v>1803168.25</v>
      </c>
      <c r="E180">
        <v>0.43</v>
      </c>
      <c r="F180">
        <v>60</v>
      </c>
      <c r="G180">
        <v>14468</v>
      </c>
      <c r="H180">
        <v>0.41</v>
      </c>
    </row>
    <row r="181" spans="1:8">
      <c r="A181" t="s">
        <v>1240</v>
      </c>
      <c r="B181" t="s">
        <v>925</v>
      </c>
      <c r="C181">
        <v>2991.89</v>
      </c>
      <c r="D181">
        <v>751552.01999999897</v>
      </c>
      <c r="E181">
        <v>0.4</v>
      </c>
      <c r="F181">
        <v>21</v>
      </c>
      <c r="G181">
        <v>6265</v>
      </c>
      <c r="H181">
        <v>0.34</v>
      </c>
    </row>
    <row r="182" spans="1:8">
      <c r="A182" t="s">
        <v>1240</v>
      </c>
      <c r="B182" t="s">
        <v>1040</v>
      </c>
      <c r="C182">
        <v>1110.5</v>
      </c>
      <c r="D182">
        <v>293729.82999999903</v>
      </c>
      <c r="E182">
        <v>0.38</v>
      </c>
      <c r="F182">
        <v>8</v>
      </c>
      <c r="G182">
        <v>2316</v>
      </c>
      <c r="H182">
        <v>0.35</v>
      </c>
    </row>
    <row r="183" spans="1:8">
      <c r="A183" t="s">
        <v>1240</v>
      </c>
      <c r="B183" t="s">
        <v>1179</v>
      </c>
      <c r="C183">
        <v>970.39999999999895</v>
      </c>
      <c r="D183">
        <v>261821.53999999899</v>
      </c>
      <c r="E183">
        <v>0.37</v>
      </c>
      <c r="F183">
        <v>8</v>
      </c>
      <c r="G183">
        <v>1796</v>
      </c>
      <c r="H183">
        <v>0.45</v>
      </c>
    </row>
    <row r="184" spans="1:8">
      <c r="A184" t="s">
        <v>1240</v>
      </c>
      <c r="B184" t="s">
        <v>930</v>
      </c>
      <c r="C184">
        <v>1626.1899999999901</v>
      </c>
      <c r="D184">
        <v>514179.52999999898</v>
      </c>
      <c r="E184">
        <v>0.32</v>
      </c>
      <c r="F184">
        <v>12</v>
      </c>
      <c r="G184">
        <v>4156</v>
      </c>
      <c r="H184">
        <v>0.28999999999999998</v>
      </c>
    </row>
    <row r="185" spans="1:8">
      <c r="A185" t="s">
        <v>1240</v>
      </c>
      <c r="B185" t="s">
        <v>1064</v>
      </c>
      <c r="C185">
        <v>1260.3</v>
      </c>
      <c r="D185">
        <v>508609.12999999902</v>
      </c>
      <c r="E185">
        <v>0.25</v>
      </c>
      <c r="F185">
        <v>12</v>
      </c>
      <c r="G185">
        <v>3766</v>
      </c>
      <c r="H185">
        <v>0.32</v>
      </c>
    </row>
    <row r="186" spans="1:8">
      <c r="A186" t="s">
        <v>1240</v>
      </c>
      <c r="B186" t="s">
        <v>920</v>
      </c>
      <c r="C186">
        <v>1637.1</v>
      </c>
      <c r="D186">
        <v>683400.24999999895</v>
      </c>
      <c r="E186">
        <v>0.24</v>
      </c>
      <c r="F186">
        <v>13</v>
      </c>
      <c r="G186">
        <v>5736</v>
      </c>
      <c r="H186">
        <v>0.23</v>
      </c>
    </row>
    <row r="187" spans="1:8">
      <c r="A187" t="s">
        <v>1240</v>
      </c>
      <c r="B187" t="s">
        <v>1045</v>
      </c>
      <c r="C187">
        <v>521.5</v>
      </c>
      <c r="D187">
        <v>303593.40000000002</v>
      </c>
      <c r="E187">
        <v>0.17</v>
      </c>
      <c r="F187">
        <v>7</v>
      </c>
      <c r="G187">
        <v>2416</v>
      </c>
      <c r="H187">
        <v>0.28999999999999998</v>
      </c>
    </row>
    <row r="188" spans="1:8">
      <c r="A188" t="s">
        <v>1240</v>
      </c>
      <c r="B188" t="s">
        <v>1128</v>
      </c>
      <c r="C188">
        <v>346.6</v>
      </c>
      <c r="D188">
        <v>226813.40999999901</v>
      </c>
      <c r="E188">
        <v>0.15</v>
      </c>
      <c r="F188">
        <v>4</v>
      </c>
      <c r="G188">
        <v>1472</v>
      </c>
      <c r="H188">
        <v>0.27</v>
      </c>
    </row>
    <row r="189" spans="1:8">
      <c r="A189" t="s">
        <v>1241</v>
      </c>
      <c r="B189" t="s">
        <v>1040</v>
      </c>
      <c r="C189">
        <v>64.5</v>
      </c>
      <c r="D189">
        <v>293729.82999999903</v>
      </c>
      <c r="E189">
        <v>0.02</v>
      </c>
      <c r="F189">
        <v>5</v>
      </c>
      <c r="G189">
        <v>2316</v>
      </c>
      <c r="H189">
        <v>0.22</v>
      </c>
    </row>
    <row r="190" spans="1:8">
      <c r="A190" t="s">
        <v>1241</v>
      </c>
      <c r="B190" t="s">
        <v>925</v>
      </c>
      <c r="C190">
        <v>109.99</v>
      </c>
      <c r="D190">
        <v>751552.01999999897</v>
      </c>
      <c r="E190">
        <v>0.01</v>
      </c>
      <c r="F190">
        <v>1</v>
      </c>
      <c r="G190">
        <v>6265</v>
      </c>
      <c r="H190">
        <v>0.02</v>
      </c>
    </row>
    <row r="191" spans="1:8">
      <c r="A191" t="s">
        <v>1241</v>
      </c>
      <c r="B191" t="s">
        <v>908</v>
      </c>
      <c r="C191">
        <v>456.78</v>
      </c>
      <c r="D191">
        <v>5195744.47999998</v>
      </c>
      <c r="E191">
        <v>0.01</v>
      </c>
      <c r="F191">
        <v>14</v>
      </c>
      <c r="G191">
        <v>47399</v>
      </c>
      <c r="H191">
        <v>0.03</v>
      </c>
    </row>
    <row r="192" spans="1:8">
      <c r="A192" t="s">
        <v>1241</v>
      </c>
      <c r="B192" t="s">
        <v>913</v>
      </c>
      <c r="C192">
        <v>38.700000000000003</v>
      </c>
      <c r="D192">
        <v>1577629.1</v>
      </c>
      <c r="E192">
        <v>0</v>
      </c>
      <c r="F192">
        <v>3</v>
      </c>
      <c r="G192">
        <v>13110</v>
      </c>
      <c r="H192">
        <v>0.02</v>
      </c>
    </row>
    <row r="193" spans="1:8">
      <c r="A193" t="s">
        <v>1241</v>
      </c>
      <c r="B193" t="s">
        <v>920</v>
      </c>
      <c r="C193">
        <v>12.9</v>
      </c>
      <c r="D193">
        <v>683400.24999999895</v>
      </c>
      <c r="E193">
        <v>0</v>
      </c>
      <c r="F193">
        <v>1</v>
      </c>
      <c r="G193">
        <v>5736</v>
      </c>
      <c r="H193">
        <v>0.02</v>
      </c>
    </row>
    <row r="194" spans="1:8">
      <c r="A194" t="s">
        <v>1241</v>
      </c>
      <c r="B194" t="s">
        <v>948</v>
      </c>
      <c r="C194">
        <v>12.9</v>
      </c>
      <c r="D194">
        <v>263711.51999999897</v>
      </c>
      <c r="E194">
        <v>0</v>
      </c>
      <c r="F194">
        <v>1</v>
      </c>
      <c r="G194">
        <v>2237</v>
      </c>
      <c r="H194">
        <v>0.04</v>
      </c>
    </row>
    <row r="195" spans="1:8">
      <c r="A195" t="s">
        <v>1241</v>
      </c>
      <c r="B195" t="s">
        <v>1064</v>
      </c>
      <c r="C195">
        <v>12.9</v>
      </c>
      <c r="D195">
        <v>508609.12999999902</v>
      </c>
      <c r="E195">
        <v>0</v>
      </c>
      <c r="F195">
        <v>1</v>
      </c>
      <c r="G195">
        <v>3766</v>
      </c>
      <c r="H195">
        <v>0.03</v>
      </c>
    </row>
    <row r="196" spans="1:8">
      <c r="A196" t="s">
        <v>1241</v>
      </c>
      <c r="B196" t="s">
        <v>959</v>
      </c>
      <c r="C196">
        <v>12.9</v>
      </c>
      <c r="D196">
        <v>1803168.25</v>
      </c>
      <c r="E196">
        <v>0</v>
      </c>
      <c r="F196">
        <v>1</v>
      </c>
      <c r="G196">
        <v>14468</v>
      </c>
      <c r="H196">
        <v>0.01</v>
      </c>
    </row>
    <row r="197" spans="1:8">
      <c r="A197" t="s">
        <v>1242</v>
      </c>
      <c r="B197" t="s">
        <v>925</v>
      </c>
      <c r="C197">
        <v>7497.72</v>
      </c>
      <c r="D197">
        <v>751552.01999999897</v>
      </c>
      <c r="E197">
        <v>1</v>
      </c>
      <c r="F197">
        <v>43</v>
      </c>
      <c r="G197">
        <v>6265</v>
      </c>
      <c r="H197">
        <v>0.69</v>
      </c>
    </row>
    <row r="198" spans="1:8">
      <c r="A198" t="s">
        <v>1242</v>
      </c>
      <c r="B198" t="s">
        <v>1040</v>
      </c>
      <c r="C198">
        <v>2668.35</v>
      </c>
      <c r="D198">
        <v>293729.82999999903</v>
      </c>
      <c r="E198">
        <v>0.91</v>
      </c>
      <c r="F198">
        <v>13</v>
      </c>
      <c r="G198">
        <v>2316</v>
      </c>
      <c r="H198">
        <v>0.56000000000000005</v>
      </c>
    </row>
    <row r="199" spans="1:8">
      <c r="A199" t="s">
        <v>1242</v>
      </c>
      <c r="B199" t="s">
        <v>948</v>
      </c>
      <c r="C199">
        <v>2148.6999999999998</v>
      </c>
      <c r="D199">
        <v>263711.51999999897</v>
      </c>
      <c r="E199">
        <v>0.81</v>
      </c>
      <c r="F199">
        <v>15</v>
      </c>
      <c r="G199">
        <v>2237</v>
      </c>
      <c r="H199">
        <v>0.67</v>
      </c>
    </row>
    <row r="200" spans="1:8">
      <c r="A200" t="s">
        <v>1242</v>
      </c>
      <c r="B200" t="s">
        <v>930</v>
      </c>
      <c r="C200">
        <v>3878.12</v>
      </c>
      <c r="D200">
        <v>514179.52999999898</v>
      </c>
      <c r="E200">
        <v>0.75</v>
      </c>
      <c r="F200">
        <v>25</v>
      </c>
      <c r="G200">
        <v>4156</v>
      </c>
      <c r="H200">
        <v>0.6</v>
      </c>
    </row>
    <row r="201" spans="1:8">
      <c r="A201" t="s">
        <v>1242</v>
      </c>
      <c r="B201" t="s">
        <v>1027</v>
      </c>
      <c r="C201">
        <v>1085.28</v>
      </c>
      <c r="D201">
        <v>155690.51</v>
      </c>
      <c r="E201">
        <v>0.7</v>
      </c>
      <c r="F201">
        <v>7</v>
      </c>
      <c r="G201">
        <v>1047</v>
      </c>
      <c r="H201">
        <v>0.67</v>
      </c>
    </row>
    <row r="202" spans="1:8">
      <c r="A202" t="s">
        <v>1242</v>
      </c>
      <c r="B202" t="s">
        <v>1128</v>
      </c>
      <c r="C202">
        <v>1581.65</v>
      </c>
      <c r="D202">
        <v>226813.40999999901</v>
      </c>
      <c r="E202">
        <v>0.7</v>
      </c>
      <c r="F202">
        <v>10</v>
      </c>
      <c r="G202">
        <v>1472</v>
      </c>
      <c r="H202">
        <v>0.68</v>
      </c>
    </row>
    <row r="203" spans="1:8">
      <c r="A203" t="s">
        <v>1242</v>
      </c>
      <c r="B203" t="s">
        <v>908</v>
      </c>
      <c r="C203">
        <v>34328.429999999898</v>
      </c>
      <c r="D203">
        <v>5195744.47999998</v>
      </c>
      <c r="E203">
        <v>0.66</v>
      </c>
      <c r="F203">
        <v>268</v>
      </c>
      <c r="G203">
        <v>47399</v>
      </c>
      <c r="H203">
        <v>0.56999999999999995</v>
      </c>
    </row>
    <row r="204" spans="1:8">
      <c r="A204" t="s">
        <v>1242</v>
      </c>
      <c r="B204" t="s">
        <v>1064</v>
      </c>
      <c r="C204">
        <v>2654.22999999999</v>
      </c>
      <c r="D204">
        <v>508609.12999999902</v>
      </c>
      <c r="E204">
        <v>0.52</v>
      </c>
      <c r="F204">
        <v>14</v>
      </c>
      <c r="G204">
        <v>3766</v>
      </c>
      <c r="H204">
        <v>0.37</v>
      </c>
    </row>
    <row r="205" spans="1:8">
      <c r="A205" t="s">
        <v>1242</v>
      </c>
      <c r="B205" t="s">
        <v>913</v>
      </c>
      <c r="C205">
        <v>8270.9</v>
      </c>
      <c r="D205">
        <v>1577629.1</v>
      </c>
      <c r="E205">
        <v>0.52</v>
      </c>
      <c r="F205">
        <v>60</v>
      </c>
      <c r="G205">
        <v>13110</v>
      </c>
      <c r="H205">
        <v>0.46</v>
      </c>
    </row>
    <row r="206" spans="1:8">
      <c r="A206" t="s">
        <v>1242</v>
      </c>
      <c r="B206" t="s">
        <v>1179</v>
      </c>
      <c r="C206">
        <v>1341.65</v>
      </c>
      <c r="D206">
        <v>261821.53999999899</v>
      </c>
      <c r="E206">
        <v>0.51</v>
      </c>
      <c r="F206">
        <v>7</v>
      </c>
      <c r="G206">
        <v>1796</v>
      </c>
      <c r="H206">
        <v>0.39</v>
      </c>
    </row>
    <row r="207" spans="1:8">
      <c r="A207" t="s">
        <v>1242</v>
      </c>
      <c r="B207" t="s">
        <v>920</v>
      </c>
      <c r="C207">
        <v>2748.11</v>
      </c>
      <c r="D207">
        <v>683400.24999999895</v>
      </c>
      <c r="E207">
        <v>0.4</v>
      </c>
      <c r="F207">
        <v>24</v>
      </c>
      <c r="G207">
        <v>5736</v>
      </c>
      <c r="H207">
        <v>0.42</v>
      </c>
    </row>
    <row r="208" spans="1:8">
      <c r="A208" t="s">
        <v>1242</v>
      </c>
      <c r="B208" t="s">
        <v>959</v>
      </c>
      <c r="C208">
        <v>6927.6799999999903</v>
      </c>
      <c r="D208">
        <v>1803168.25</v>
      </c>
      <c r="E208">
        <v>0.38</v>
      </c>
      <c r="F208">
        <v>71</v>
      </c>
      <c r="G208">
        <v>14468</v>
      </c>
      <c r="H208">
        <v>0.49</v>
      </c>
    </row>
    <row r="209" spans="1:8">
      <c r="A209" t="s">
        <v>1242</v>
      </c>
      <c r="B209" t="s">
        <v>1045</v>
      </c>
      <c r="C209">
        <v>793.64</v>
      </c>
      <c r="D209">
        <v>303593.40000000002</v>
      </c>
      <c r="E209">
        <v>0.26</v>
      </c>
      <c r="F209">
        <v>7</v>
      </c>
      <c r="G209">
        <v>2416</v>
      </c>
      <c r="H209">
        <v>0.28999999999999998</v>
      </c>
    </row>
    <row r="210" spans="1:8">
      <c r="A210" t="s">
        <v>1242</v>
      </c>
      <c r="B210" t="s">
        <v>1208</v>
      </c>
      <c r="C210">
        <v>249.79999999999899</v>
      </c>
      <c r="D210">
        <v>175925.19</v>
      </c>
      <c r="E210">
        <v>0.14000000000000001</v>
      </c>
      <c r="F210">
        <v>2</v>
      </c>
      <c r="G210">
        <v>1067</v>
      </c>
      <c r="H210">
        <v>0.19</v>
      </c>
    </row>
    <row r="211" spans="1:8">
      <c r="A211" t="s">
        <v>1243</v>
      </c>
      <c r="B211" t="s">
        <v>925</v>
      </c>
      <c r="C211">
        <v>225</v>
      </c>
      <c r="D211">
        <v>751552.01999999897</v>
      </c>
      <c r="E211">
        <v>0.03</v>
      </c>
      <c r="F211">
        <v>5</v>
      </c>
      <c r="G211">
        <v>6265</v>
      </c>
      <c r="H211">
        <v>0.08</v>
      </c>
    </row>
    <row r="212" spans="1:8">
      <c r="A212" t="s">
        <v>1243</v>
      </c>
      <c r="B212" t="s">
        <v>908</v>
      </c>
      <c r="C212">
        <v>350</v>
      </c>
      <c r="D212">
        <v>5195744.47999998</v>
      </c>
      <c r="E212">
        <v>0.01</v>
      </c>
      <c r="F212">
        <v>6</v>
      </c>
      <c r="G212">
        <v>47399</v>
      </c>
      <c r="H212">
        <v>0.01</v>
      </c>
    </row>
    <row r="213" spans="1:8">
      <c r="A213" t="s">
        <v>1243</v>
      </c>
      <c r="B213" t="s">
        <v>959</v>
      </c>
      <c r="C213">
        <v>90</v>
      </c>
      <c r="D213">
        <v>1803168.25</v>
      </c>
      <c r="E213">
        <v>0</v>
      </c>
      <c r="F213">
        <v>2</v>
      </c>
      <c r="G213">
        <v>14468</v>
      </c>
      <c r="H213">
        <v>0.01</v>
      </c>
    </row>
    <row r="214" spans="1:8">
      <c r="A214" t="s">
        <v>1244</v>
      </c>
      <c r="B214" t="s">
        <v>1027</v>
      </c>
      <c r="C214">
        <v>675.99</v>
      </c>
      <c r="D214">
        <v>155690.51</v>
      </c>
      <c r="E214">
        <v>0.43</v>
      </c>
      <c r="F214">
        <v>1</v>
      </c>
      <c r="G214">
        <v>1047</v>
      </c>
      <c r="H214">
        <v>0.1</v>
      </c>
    </row>
    <row r="215" spans="1:8">
      <c r="A215" t="s">
        <v>1244</v>
      </c>
      <c r="B215" t="s">
        <v>930</v>
      </c>
      <c r="C215">
        <v>1106.8899999999901</v>
      </c>
      <c r="D215">
        <v>514179.52999999898</v>
      </c>
      <c r="E215">
        <v>0.22</v>
      </c>
      <c r="F215">
        <v>4</v>
      </c>
      <c r="G215">
        <v>4156</v>
      </c>
      <c r="H215">
        <v>0.1</v>
      </c>
    </row>
    <row r="216" spans="1:8">
      <c r="A216" t="s">
        <v>1244</v>
      </c>
      <c r="B216" t="s">
        <v>1208</v>
      </c>
      <c r="C216">
        <v>249.7</v>
      </c>
      <c r="D216">
        <v>175925.19</v>
      </c>
      <c r="E216">
        <v>0.14000000000000001</v>
      </c>
      <c r="F216">
        <v>3</v>
      </c>
      <c r="G216">
        <v>1067</v>
      </c>
      <c r="H216">
        <v>0.28000000000000003</v>
      </c>
    </row>
    <row r="217" spans="1:8">
      <c r="A217" t="s">
        <v>1244</v>
      </c>
      <c r="B217" t="s">
        <v>925</v>
      </c>
      <c r="C217">
        <v>821.58</v>
      </c>
      <c r="D217">
        <v>751552.01999999897</v>
      </c>
      <c r="E217">
        <v>0.11</v>
      </c>
      <c r="F217">
        <v>12</v>
      </c>
      <c r="G217">
        <v>6265</v>
      </c>
      <c r="H217">
        <v>0.19</v>
      </c>
    </row>
    <row r="218" spans="1:8">
      <c r="A218" t="s">
        <v>1244</v>
      </c>
      <c r="B218" t="s">
        <v>1064</v>
      </c>
      <c r="C218">
        <v>314.85000000000002</v>
      </c>
      <c r="D218">
        <v>508609.12999999902</v>
      </c>
      <c r="E218">
        <v>0.06</v>
      </c>
      <c r="F218">
        <v>3</v>
      </c>
      <c r="G218">
        <v>3766</v>
      </c>
      <c r="H218">
        <v>0.08</v>
      </c>
    </row>
    <row r="219" spans="1:8">
      <c r="A219" t="s">
        <v>1244</v>
      </c>
      <c r="B219" t="s">
        <v>1040</v>
      </c>
      <c r="C219">
        <v>119</v>
      </c>
      <c r="D219">
        <v>293729.82999999903</v>
      </c>
      <c r="E219">
        <v>0.04</v>
      </c>
      <c r="F219">
        <v>1</v>
      </c>
      <c r="G219">
        <v>2316</v>
      </c>
      <c r="H219">
        <v>0.04</v>
      </c>
    </row>
    <row r="220" spans="1:8">
      <c r="A220" t="s">
        <v>1244</v>
      </c>
      <c r="B220" t="s">
        <v>908</v>
      </c>
      <c r="C220">
        <v>2049.8099999999899</v>
      </c>
      <c r="D220">
        <v>5195744.47999998</v>
      </c>
      <c r="E220">
        <v>0.04</v>
      </c>
      <c r="F220">
        <v>32</v>
      </c>
      <c r="G220">
        <v>47399</v>
      </c>
      <c r="H220">
        <v>7.0000000000000007E-2</v>
      </c>
    </row>
    <row r="221" spans="1:8">
      <c r="A221" t="s">
        <v>1244</v>
      </c>
      <c r="B221" t="s">
        <v>948</v>
      </c>
      <c r="C221">
        <v>94.9</v>
      </c>
      <c r="D221">
        <v>263711.51999999897</v>
      </c>
      <c r="E221">
        <v>0.04</v>
      </c>
      <c r="F221">
        <v>1</v>
      </c>
      <c r="G221">
        <v>2237</v>
      </c>
      <c r="H221">
        <v>0.04</v>
      </c>
    </row>
    <row r="222" spans="1:8">
      <c r="A222" t="s">
        <v>1244</v>
      </c>
      <c r="B222" t="s">
        <v>920</v>
      </c>
      <c r="C222">
        <v>293.60000000000002</v>
      </c>
      <c r="D222">
        <v>683400.24999999895</v>
      </c>
      <c r="E222">
        <v>0.04</v>
      </c>
      <c r="F222">
        <v>2</v>
      </c>
      <c r="G222">
        <v>5736</v>
      </c>
      <c r="H222">
        <v>0.03</v>
      </c>
    </row>
    <row r="223" spans="1:8">
      <c r="A223" t="s">
        <v>1244</v>
      </c>
      <c r="B223" t="s">
        <v>913</v>
      </c>
      <c r="C223">
        <v>494.89</v>
      </c>
      <c r="D223">
        <v>1577629.1</v>
      </c>
      <c r="E223">
        <v>0.03</v>
      </c>
      <c r="F223">
        <v>6</v>
      </c>
      <c r="G223">
        <v>13110</v>
      </c>
      <c r="H223">
        <v>0.05</v>
      </c>
    </row>
    <row r="224" spans="1:8">
      <c r="A224" t="s">
        <v>1244</v>
      </c>
      <c r="B224" t="s">
        <v>1045</v>
      </c>
      <c r="C224">
        <v>99.95</v>
      </c>
      <c r="D224">
        <v>303593.40000000002</v>
      </c>
      <c r="E224">
        <v>0.03</v>
      </c>
      <c r="F224">
        <v>1</v>
      </c>
      <c r="G224">
        <v>2416</v>
      </c>
      <c r="H224">
        <v>0.04</v>
      </c>
    </row>
    <row r="225" spans="1:8">
      <c r="A225" t="s">
        <v>1244</v>
      </c>
      <c r="B225" t="s">
        <v>959</v>
      </c>
      <c r="C225">
        <v>528.6</v>
      </c>
      <c r="D225">
        <v>1803168.25</v>
      </c>
      <c r="E225">
        <v>0.03</v>
      </c>
      <c r="F225">
        <v>5</v>
      </c>
      <c r="G225">
        <v>14468</v>
      </c>
      <c r="H225">
        <v>0.03</v>
      </c>
    </row>
    <row r="226" spans="1:8">
      <c r="A226" t="s">
        <v>1244</v>
      </c>
      <c r="B226" t="s">
        <v>1179</v>
      </c>
      <c r="C226">
        <v>49.8</v>
      </c>
      <c r="D226">
        <v>261821.53999999899</v>
      </c>
      <c r="E226">
        <v>0.02</v>
      </c>
      <c r="F226">
        <v>1</v>
      </c>
      <c r="G226">
        <v>1796</v>
      </c>
      <c r="H226">
        <v>0.06</v>
      </c>
    </row>
    <row r="227" spans="1:8">
      <c r="A227" t="s">
        <v>1245</v>
      </c>
      <c r="B227" t="s">
        <v>959</v>
      </c>
      <c r="C227">
        <v>16126.3999999999</v>
      </c>
      <c r="D227">
        <v>1803168.25</v>
      </c>
      <c r="E227">
        <v>0.89</v>
      </c>
      <c r="F227">
        <v>67</v>
      </c>
      <c r="G227">
        <v>14468</v>
      </c>
      <c r="H227">
        <v>0.46</v>
      </c>
    </row>
    <row r="228" spans="1:8">
      <c r="A228" t="s">
        <v>1245</v>
      </c>
      <c r="B228" t="s">
        <v>920</v>
      </c>
      <c r="C228">
        <v>3353.81</v>
      </c>
      <c r="D228">
        <v>683400.24999999895</v>
      </c>
      <c r="E228">
        <v>0.49</v>
      </c>
      <c r="F228">
        <v>12</v>
      </c>
      <c r="G228">
        <v>5736</v>
      </c>
      <c r="H228">
        <v>0.21</v>
      </c>
    </row>
    <row r="229" spans="1:8">
      <c r="A229" t="s">
        <v>1245</v>
      </c>
      <c r="B229" t="s">
        <v>908</v>
      </c>
      <c r="C229">
        <v>22574.639999999901</v>
      </c>
      <c r="D229">
        <v>5195744.47999998</v>
      </c>
      <c r="E229">
        <v>0.43</v>
      </c>
      <c r="F229">
        <v>137</v>
      </c>
      <c r="G229">
        <v>47399</v>
      </c>
      <c r="H229">
        <v>0.28999999999999998</v>
      </c>
    </row>
    <row r="230" spans="1:8">
      <c r="A230" t="s">
        <v>1245</v>
      </c>
      <c r="B230" t="s">
        <v>1027</v>
      </c>
      <c r="C230">
        <v>585.79999999999995</v>
      </c>
      <c r="D230">
        <v>155690.51</v>
      </c>
      <c r="E230">
        <v>0.38</v>
      </c>
      <c r="F230">
        <v>5</v>
      </c>
      <c r="G230">
        <v>1047</v>
      </c>
      <c r="H230">
        <v>0.48</v>
      </c>
    </row>
    <row r="231" spans="1:8">
      <c r="A231" t="s">
        <v>1245</v>
      </c>
      <c r="B231" t="s">
        <v>1040</v>
      </c>
      <c r="C231">
        <v>940.89</v>
      </c>
      <c r="D231">
        <v>293729.82999999903</v>
      </c>
      <c r="E231">
        <v>0.32</v>
      </c>
      <c r="F231">
        <v>7</v>
      </c>
      <c r="G231">
        <v>2316</v>
      </c>
      <c r="H231">
        <v>0.3</v>
      </c>
    </row>
    <row r="232" spans="1:8">
      <c r="A232" t="s">
        <v>1245</v>
      </c>
      <c r="B232" t="s">
        <v>913</v>
      </c>
      <c r="C232">
        <v>4379.1099999999997</v>
      </c>
      <c r="D232">
        <v>1577629.1</v>
      </c>
      <c r="E232">
        <v>0.28000000000000003</v>
      </c>
      <c r="F232">
        <v>20</v>
      </c>
      <c r="G232">
        <v>13110</v>
      </c>
      <c r="H232">
        <v>0.15</v>
      </c>
    </row>
    <row r="233" spans="1:8">
      <c r="A233" t="s">
        <v>1245</v>
      </c>
      <c r="B233" t="s">
        <v>948</v>
      </c>
      <c r="C233">
        <v>710.9</v>
      </c>
      <c r="D233">
        <v>263711.51999999897</v>
      </c>
      <c r="E233">
        <v>0.27</v>
      </c>
      <c r="F233">
        <v>5</v>
      </c>
      <c r="G233">
        <v>2237</v>
      </c>
      <c r="H233">
        <v>0.22</v>
      </c>
    </row>
    <row r="234" spans="1:8">
      <c r="A234" t="s">
        <v>1245</v>
      </c>
      <c r="B234" t="s">
        <v>925</v>
      </c>
      <c r="C234">
        <v>1702.19</v>
      </c>
      <c r="D234">
        <v>751552.01999999897</v>
      </c>
      <c r="E234">
        <v>0.23</v>
      </c>
      <c r="F234">
        <v>15</v>
      </c>
      <c r="G234">
        <v>6265</v>
      </c>
      <c r="H234">
        <v>0.24</v>
      </c>
    </row>
    <row r="235" spans="1:8">
      <c r="A235" t="s">
        <v>1245</v>
      </c>
      <c r="B235" t="s">
        <v>1128</v>
      </c>
      <c r="C235">
        <v>446.159999999999</v>
      </c>
      <c r="D235">
        <v>226813.40999999901</v>
      </c>
      <c r="E235">
        <v>0.2</v>
      </c>
      <c r="F235">
        <v>2</v>
      </c>
      <c r="G235">
        <v>1472</v>
      </c>
      <c r="H235">
        <v>0.14000000000000001</v>
      </c>
    </row>
    <row r="236" spans="1:8">
      <c r="A236" t="s">
        <v>1245</v>
      </c>
      <c r="B236" t="s">
        <v>1064</v>
      </c>
      <c r="C236">
        <v>832.86</v>
      </c>
      <c r="D236">
        <v>508609.12999999902</v>
      </c>
      <c r="E236">
        <v>0.16</v>
      </c>
      <c r="F236">
        <v>6</v>
      </c>
      <c r="G236">
        <v>3766</v>
      </c>
      <c r="H236">
        <v>0.16</v>
      </c>
    </row>
    <row r="237" spans="1:8">
      <c r="A237" t="s">
        <v>1245</v>
      </c>
      <c r="B237" t="s">
        <v>1045</v>
      </c>
      <c r="C237">
        <v>468</v>
      </c>
      <c r="D237">
        <v>303593.40000000002</v>
      </c>
      <c r="E237">
        <v>0.15</v>
      </c>
      <c r="F237">
        <v>3</v>
      </c>
      <c r="G237">
        <v>2416</v>
      </c>
      <c r="H237">
        <v>0.12</v>
      </c>
    </row>
    <row r="238" spans="1:8">
      <c r="A238" t="s">
        <v>1245</v>
      </c>
      <c r="B238" t="s">
        <v>930</v>
      </c>
      <c r="C238">
        <v>599.6</v>
      </c>
      <c r="D238">
        <v>514179.52999999898</v>
      </c>
      <c r="E238">
        <v>0.12</v>
      </c>
      <c r="F238">
        <v>4</v>
      </c>
      <c r="G238">
        <v>4156</v>
      </c>
      <c r="H238">
        <v>0.1</v>
      </c>
    </row>
    <row r="239" spans="1:8">
      <c r="A239" t="s">
        <v>1245</v>
      </c>
      <c r="B239" t="s">
        <v>1179</v>
      </c>
      <c r="C239">
        <v>276.89999999999998</v>
      </c>
      <c r="D239">
        <v>261821.53999999899</v>
      </c>
      <c r="E239">
        <v>0.11</v>
      </c>
      <c r="F239">
        <v>2</v>
      </c>
      <c r="G239">
        <v>1796</v>
      </c>
      <c r="H239">
        <v>0.11</v>
      </c>
    </row>
    <row r="240" spans="1:8">
      <c r="A240" t="s">
        <v>1246</v>
      </c>
      <c r="B240" t="s">
        <v>1179</v>
      </c>
      <c r="C240">
        <v>5572.24</v>
      </c>
      <c r="D240">
        <v>261821.53999999899</v>
      </c>
      <c r="E240">
        <v>2.13</v>
      </c>
      <c r="F240">
        <v>19</v>
      </c>
      <c r="G240">
        <v>1796</v>
      </c>
      <c r="H240">
        <v>1.06</v>
      </c>
    </row>
    <row r="241" spans="1:8">
      <c r="A241" t="s">
        <v>1246</v>
      </c>
      <c r="B241" t="s">
        <v>1128</v>
      </c>
      <c r="C241">
        <v>3664.05</v>
      </c>
      <c r="D241">
        <v>226813.40999999901</v>
      </c>
      <c r="E241">
        <v>1.62</v>
      </c>
      <c r="F241">
        <v>16</v>
      </c>
      <c r="G241">
        <v>1472</v>
      </c>
      <c r="H241">
        <v>1.0900000000000001</v>
      </c>
    </row>
    <row r="242" spans="1:8">
      <c r="A242" t="s">
        <v>1246</v>
      </c>
      <c r="B242" t="s">
        <v>948</v>
      </c>
      <c r="C242">
        <v>3525.01999999999</v>
      </c>
      <c r="D242">
        <v>263711.51999999897</v>
      </c>
      <c r="E242">
        <v>1.34</v>
      </c>
      <c r="F242">
        <v>23</v>
      </c>
      <c r="G242">
        <v>2237</v>
      </c>
      <c r="H242">
        <v>1.03</v>
      </c>
    </row>
    <row r="243" spans="1:8">
      <c r="A243" t="s">
        <v>1246</v>
      </c>
      <c r="B243" t="s">
        <v>913</v>
      </c>
      <c r="C243">
        <v>19952.6699999999</v>
      </c>
      <c r="D243">
        <v>1577629.1</v>
      </c>
      <c r="E243">
        <v>1.26</v>
      </c>
      <c r="F243">
        <v>133</v>
      </c>
      <c r="G243">
        <v>13110</v>
      </c>
      <c r="H243">
        <v>1.01</v>
      </c>
    </row>
    <row r="244" spans="1:8">
      <c r="A244" t="s">
        <v>1246</v>
      </c>
      <c r="B244" t="s">
        <v>908</v>
      </c>
      <c r="C244">
        <v>63991.58</v>
      </c>
      <c r="D244">
        <v>5195744.47999998</v>
      </c>
      <c r="E244">
        <v>1.23</v>
      </c>
      <c r="F244">
        <v>491</v>
      </c>
      <c r="G244">
        <v>47399</v>
      </c>
      <c r="H244">
        <v>1.04</v>
      </c>
    </row>
    <row r="245" spans="1:8">
      <c r="A245" t="s">
        <v>1246</v>
      </c>
      <c r="B245" t="s">
        <v>925</v>
      </c>
      <c r="C245">
        <v>8700.5400000000009</v>
      </c>
      <c r="D245">
        <v>751552.01999999897</v>
      </c>
      <c r="E245">
        <v>1.1599999999999999</v>
      </c>
      <c r="F245">
        <v>61</v>
      </c>
      <c r="G245">
        <v>6265</v>
      </c>
      <c r="H245">
        <v>0.97</v>
      </c>
    </row>
    <row r="246" spans="1:8">
      <c r="A246" t="s">
        <v>1246</v>
      </c>
      <c r="B246" t="s">
        <v>1208</v>
      </c>
      <c r="C246">
        <v>2013.73</v>
      </c>
      <c r="D246">
        <v>175925.19</v>
      </c>
      <c r="E246">
        <v>1.1399999999999999</v>
      </c>
      <c r="F246">
        <v>14</v>
      </c>
      <c r="G246">
        <v>1067</v>
      </c>
      <c r="H246">
        <v>1.31</v>
      </c>
    </row>
    <row r="247" spans="1:8">
      <c r="A247" t="s">
        <v>1246</v>
      </c>
      <c r="B247" t="s">
        <v>920</v>
      </c>
      <c r="C247">
        <v>6483.52</v>
      </c>
      <c r="D247">
        <v>683400.24999999895</v>
      </c>
      <c r="E247">
        <v>0.95</v>
      </c>
      <c r="F247">
        <v>47</v>
      </c>
      <c r="G247">
        <v>5736</v>
      </c>
      <c r="H247">
        <v>0.82</v>
      </c>
    </row>
    <row r="248" spans="1:8">
      <c r="A248" t="s">
        <v>1246</v>
      </c>
      <c r="B248" t="s">
        <v>959</v>
      </c>
      <c r="C248">
        <v>16679.949999999899</v>
      </c>
      <c r="D248">
        <v>1803168.25</v>
      </c>
      <c r="E248">
        <v>0.93</v>
      </c>
      <c r="F248">
        <v>139</v>
      </c>
      <c r="G248">
        <v>14468</v>
      </c>
      <c r="H248">
        <v>0.96</v>
      </c>
    </row>
    <row r="249" spans="1:8">
      <c r="A249" t="s">
        <v>1246</v>
      </c>
      <c r="B249" t="s">
        <v>1027</v>
      </c>
      <c r="C249">
        <v>1330.49</v>
      </c>
      <c r="D249">
        <v>155690.51</v>
      </c>
      <c r="E249">
        <v>0.85</v>
      </c>
      <c r="F249">
        <v>9</v>
      </c>
      <c r="G249">
        <v>1047</v>
      </c>
      <c r="H249">
        <v>0.86</v>
      </c>
    </row>
    <row r="250" spans="1:8">
      <c r="A250" t="s">
        <v>1246</v>
      </c>
      <c r="B250" t="s">
        <v>930</v>
      </c>
      <c r="C250">
        <v>4387.53</v>
      </c>
      <c r="D250">
        <v>514179.52999999898</v>
      </c>
      <c r="E250">
        <v>0.85</v>
      </c>
      <c r="F250">
        <v>34</v>
      </c>
      <c r="G250">
        <v>4156</v>
      </c>
      <c r="H250">
        <v>0.82</v>
      </c>
    </row>
    <row r="251" spans="1:8">
      <c r="A251" t="s">
        <v>1246</v>
      </c>
      <c r="B251" t="s">
        <v>1040</v>
      </c>
      <c r="C251">
        <v>2386.84</v>
      </c>
      <c r="D251">
        <v>293729.82999999903</v>
      </c>
      <c r="E251">
        <v>0.81</v>
      </c>
      <c r="F251">
        <v>22</v>
      </c>
      <c r="G251">
        <v>2316</v>
      </c>
      <c r="H251">
        <v>0.95</v>
      </c>
    </row>
    <row r="252" spans="1:8">
      <c r="A252" t="s">
        <v>1246</v>
      </c>
      <c r="B252" t="s">
        <v>1045</v>
      </c>
      <c r="C252">
        <v>2113.37</v>
      </c>
      <c r="D252">
        <v>303593.40000000002</v>
      </c>
      <c r="E252">
        <v>0.7</v>
      </c>
      <c r="F252">
        <v>28</v>
      </c>
      <c r="G252">
        <v>2416</v>
      </c>
      <c r="H252">
        <v>1.1599999999999999</v>
      </c>
    </row>
    <row r="253" spans="1:8">
      <c r="A253" t="s">
        <v>1246</v>
      </c>
      <c r="B253" t="s">
        <v>1064</v>
      </c>
      <c r="C253">
        <v>3557.25</v>
      </c>
      <c r="D253">
        <v>508609.12999999902</v>
      </c>
      <c r="E253">
        <v>0.7</v>
      </c>
      <c r="F253">
        <v>35</v>
      </c>
      <c r="G253">
        <v>3766</v>
      </c>
      <c r="H253">
        <v>0.93</v>
      </c>
    </row>
    <row r="254" spans="1:8">
      <c r="A254" t="s">
        <v>1247</v>
      </c>
      <c r="B254" t="s">
        <v>1027</v>
      </c>
      <c r="C254">
        <v>3215.88</v>
      </c>
      <c r="D254">
        <v>155690.51</v>
      </c>
      <c r="E254">
        <v>2.0699999999999998</v>
      </c>
      <c r="F254">
        <v>7</v>
      </c>
      <c r="G254">
        <v>1047</v>
      </c>
      <c r="H254">
        <v>0.67</v>
      </c>
    </row>
    <row r="255" spans="1:8">
      <c r="A255" t="s">
        <v>1247</v>
      </c>
      <c r="B255" t="s">
        <v>920</v>
      </c>
      <c r="C255">
        <v>9200.82</v>
      </c>
      <c r="D255">
        <v>683400.24999999895</v>
      </c>
      <c r="E255">
        <v>1.35</v>
      </c>
      <c r="F255">
        <v>51</v>
      </c>
      <c r="G255">
        <v>5736</v>
      </c>
      <c r="H255">
        <v>0.89</v>
      </c>
    </row>
    <row r="256" spans="1:8">
      <c r="A256" t="s">
        <v>1247</v>
      </c>
      <c r="B256" t="s">
        <v>908</v>
      </c>
      <c r="C256">
        <v>61653.13</v>
      </c>
      <c r="D256">
        <v>5195744.47999998</v>
      </c>
      <c r="E256">
        <v>1.19</v>
      </c>
      <c r="F256">
        <v>428</v>
      </c>
      <c r="G256">
        <v>47399</v>
      </c>
      <c r="H256">
        <v>0.9</v>
      </c>
    </row>
    <row r="257" spans="1:8">
      <c r="A257" t="s">
        <v>1247</v>
      </c>
      <c r="B257" t="s">
        <v>913</v>
      </c>
      <c r="C257">
        <v>18040.689999999999</v>
      </c>
      <c r="D257">
        <v>1577629.1</v>
      </c>
      <c r="E257">
        <v>1.1399999999999999</v>
      </c>
      <c r="F257">
        <v>121</v>
      </c>
      <c r="G257">
        <v>13110</v>
      </c>
      <c r="H257">
        <v>0.92</v>
      </c>
    </row>
    <row r="258" spans="1:8">
      <c r="A258" t="s">
        <v>1247</v>
      </c>
      <c r="B258" t="s">
        <v>959</v>
      </c>
      <c r="C258">
        <v>19439.2599999999</v>
      </c>
      <c r="D258">
        <v>1803168.25</v>
      </c>
      <c r="E258">
        <v>1.08</v>
      </c>
      <c r="F258">
        <v>119</v>
      </c>
      <c r="G258">
        <v>14468</v>
      </c>
      <c r="H258">
        <v>0.82</v>
      </c>
    </row>
    <row r="259" spans="1:8">
      <c r="A259" t="s">
        <v>1247</v>
      </c>
      <c r="B259" t="s">
        <v>948</v>
      </c>
      <c r="C259">
        <v>2696.38</v>
      </c>
      <c r="D259">
        <v>263711.51999999897</v>
      </c>
      <c r="E259">
        <v>1.02</v>
      </c>
      <c r="F259">
        <v>12</v>
      </c>
      <c r="G259">
        <v>2237</v>
      </c>
      <c r="H259">
        <v>0.54</v>
      </c>
    </row>
    <row r="260" spans="1:8">
      <c r="A260" t="s">
        <v>1247</v>
      </c>
      <c r="B260" t="s">
        <v>1179</v>
      </c>
      <c r="C260">
        <v>2593.77</v>
      </c>
      <c r="D260">
        <v>261821.53999999899</v>
      </c>
      <c r="E260">
        <v>0.99</v>
      </c>
      <c r="F260">
        <v>12</v>
      </c>
      <c r="G260">
        <v>1796</v>
      </c>
      <c r="H260">
        <v>0.67</v>
      </c>
    </row>
    <row r="261" spans="1:8">
      <c r="A261" t="s">
        <v>1247</v>
      </c>
      <c r="B261" t="s">
        <v>930</v>
      </c>
      <c r="C261">
        <v>4976.8</v>
      </c>
      <c r="D261">
        <v>514179.52999999898</v>
      </c>
      <c r="E261">
        <v>0.97</v>
      </c>
      <c r="F261">
        <v>30</v>
      </c>
      <c r="G261">
        <v>4156</v>
      </c>
      <c r="H261">
        <v>0.72</v>
      </c>
    </row>
    <row r="262" spans="1:8">
      <c r="A262" t="s">
        <v>1247</v>
      </c>
      <c r="B262" t="s">
        <v>1064</v>
      </c>
      <c r="C262">
        <v>4594.7</v>
      </c>
      <c r="D262">
        <v>508609.12999999902</v>
      </c>
      <c r="E262">
        <v>0.9</v>
      </c>
      <c r="F262">
        <v>36</v>
      </c>
      <c r="G262">
        <v>3766</v>
      </c>
      <c r="H262">
        <v>0.96</v>
      </c>
    </row>
    <row r="263" spans="1:8">
      <c r="A263" t="s">
        <v>1247</v>
      </c>
      <c r="B263" t="s">
        <v>1128</v>
      </c>
      <c r="C263">
        <v>1793.06</v>
      </c>
      <c r="D263">
        <v>226813.40999999901</v>
      </c>
      <c r="E263">
        <v>0.79</v>
      </c>
      <c r="F263">
        <v>10</v>
      </c>
      <c r="G263">
        <v>1472</v>
      </c>
      <c r="H263">
        <v>0.68</v>
      </c>
    </row>
    <row r="264" spans="1:8">
      <c r="A264" t="s">
        <v>1247</v>
      </c>
      <c r="B264" t="s">
        <v>925</v>
      </c>
      <c r="C264">
        <v>5578.65</v>
      </c>
      <c r="D264">
        <v>751552.01999999897</v>
      </c>
      <c r="E264">
        <v>0.74</v>
      </c>
      <c r="F264">
        <v>44</v>
      </c>
      <c r="G264">
        <v>6265</v>
      </c>
      <c r="H264">
        <v>0.7</v>
      </c>
    </row>
    <row r="265" spans="1:8">
      <c r="A265" t="s">
        <v>1247</v>
      </c>
      <c r="B265" t="s">
        <v>1040</v>
      </c>
      <c r="C265">
        <v>1233.1600000000001</v>
      </c>
      <c r="D265">
        <v>293729.82999999903</v>
      </c>
      <c r="E265">
        <v>0.42</v>
      </c>
      <c r="F265">
        <v>11</v>
      </c>
      <c r="G265">
        <v>2316</v>
      </c>
      <c r="H265">
        <v>0.47</v>
      </c>
    </row>
    <row r="266" spans="1:8">
      <c r="A266" t="s">
        <v>1247</v>
      </c>
      <c r="B266" t="s">
        <v>1045</v>
      </c>
      <c r="C266">
        <v>1085.94</v>
      </c>
      <c r="D266">
        <v>303593.40000000002</v>
      </c>
      <c r="E266">
        <v>0.36</v>
      </c>
      <c r="F266">
        <v>11</v>
      </c>
      <c r="G266">
        <v>2416</v>
      </c>
      <c r="H266">
        <v>0.46</v>
      </c>
    </row>
    <row r="267" spans="1:8">
      <c r="A267" t="s">
        <v>1247</v>
      </c>
      <c r="B267" t="s">
        <v>1208</v>
      </c>
      <c r="C267">
        <v>487.89</v>
      </c>
      <c r="D267">
        <v>175925.19</v>
      </c>
      <c r="E267">
        <v>0.28000000000000003</v>
      </c>
      <c r="F267">
        <v>2</v>
      </c>
      <c r="G267">
        <v>1067</v>
      </c>
      <c r="H267">
        <v>0.19</v>
      </c>
    </row>
    <row r="268" spans="1:8">
      <c r="A268" t="s">
        <v>1248</v>
      </c>
      <c r="B268" t="s">
        <v>1040</v>
      </c>
      <c r="C268">
        <v>2529.5</v>
      </c>
      <c r="D268">
        <v>293729.82999999903</v>
      </c>
      <c r="E268">
        <v>0.86</v>
      </c>
      <c r="F268">
        <v>7</v>
      </c>
      <c r="G268">
        <v>2316</v>
      </c>
      <c r="H268">
        <v>0.3</v>
      </c>
    </row>
    <row r="269" spans="1:8">
      <c r="A269" t="s">
        <v>1248</v>
      </c>
      <c r="B269" t="s">
        <v>948</v>
      </c>
      <c r="C269">
        <v>513.99</v>
      </c>
      <c r="D269">
        <v>263711.51999999897</v>
      </c>
      <c r="E269">
        <v>0.19</v>
      </c>
      <c r="F269">
        <v>4</v>
      </c>
      <c r="G269">
        <v>2237</v>
      </c>
      <c r="H269">
        <v>0.18</v>
      </c>
    </row>
    <row r="270" spans="1:8">
      <c r="A270" t="s">
        <v>1248</v>
      </c>
      <c r="B270" t="s">
        <v>925</v>
      </c>
      <c r="C270">
        <v>1113.4000000000001</v>
      </c>
      <c r="D270">
        <v>751552.01999999897</v>
      </c>
      <c r="E270">
        <v>0.15</v>
      </c>
      <c r="F270">
        <v>8</v>
      </c>
      <c r="G270">
        <v>6265</v>
      </c>
      <c r="H270">
        <v>0.13</v>
      </c>
    </row>
    <row r="271" spans="1:8">
      <c r="A271" t="s">
        <v>1248</v>
      </c>
      <c r="B271" t="s">
        <v>908</v>
      </c>
      <c r="C271">
        <v>6743.3499999999904</v>
      </c>
      <c r="D271">
        <v>5195744.47999998</v>
      </c>
      <c r="E271">
        <v>0.13</v>
      </c>
      <c r="F271">
        <v>32</v>
      </c>
      <c r="G271">
        <v>47399</v>
      </c>
      <c r="H271">
        <v>7.0000000000000007E-2</v>
      </c>
    </row>
    <row r="272" spans="1:8">
      <c r="A272" t="s">
        <v>1248</v>
      </c>
      <c r="B272" t="s">
        <v>1027</v>
      </c>
      <c r="C272">
        <v>190</v>
      </c>
      <c r="D272">
        <v>155690.51</v>
      </c>
      <c r="E272">
        <v>0.12</v>
      </c>
      <c r="F272">
        <v>1</v>
      </c>
      <c r="G272">
        <v>1047</v>
      </c>
      <c r="H272">
        <v>0.1</v>
      </c>
    </row>
    <row r="273" spans="1:8">
      <c r="A273" t="s">
        <v>1248</v>
      </c>
      <c r="B273" t="s">
        <v>1064</v>
      </c>
      <c r="C273">
        <v>589.69999999999902</v>
      </c>
      <c r="D273">
        <v>508609.12999999902</v>
      </c>
      <c r="E273">
        <v>0.12</v>
      </c>
      <c r="F273">
        <v>5</v>
      </c>
      <c r="G273">
        <v>3766</v>
      </c>
      <c r="H273">
        <v>0.13</v>
      </c>
    </row>
    <row r="274" spans="1:8">
      <c r="A274" t="s">
        <v>1248</v>
      </c>
      <c r="B274" t="s">
        <v>913</v>
      </c>
      <c r="C274">
        <v>1720.04999999999</v>
      </c>
      <c r="D274">
        <v>1577629.1</v>
      </c>
      <c r="E274">
        <v>0.11</v>
      </c>
      <c r="F274">
        <v>18</v>
      </c>
      <c r="G274">
        <v>13110</v>
      </c>
      <c r="H274">
        <v>0.14000000000000001</v>
      </c>
    </row>
    <row r="275" spans="1:8">
      <c r="A275" t="s">
        <v>1248</v>
      </c>
      <c r="B275" t="s">
        <v>930</v>
      </c>
      <c r="C275">
        <v>495.6</v>
      </c>
      <c r="D275">
        <v>514179.52999999898</v>
      </c>
      <c r="E275">
        <v>0.1</v>
      </c>
      <c r="F275">
        <v>5</v>
      </c>
      <c r="G275">
        <v>4156</v>
      </c>
      <c r="H275">
        <v>0.12</v>
      </c>
    </row>
    <row r="276" spans="1:8">
      <c r="A276" t="s">
        <v>1248</v>
      </c>
      <c r="B276" t="s">
        <v>1179</v>
      </c>
      <c r="C276">
        <v>190</v>
      </c>
      <c r="D276">
        <v>261821.53999999899</v>
      </c>
      <c r="E276">
        <v>7.0000000000000007E-2</v>
      </c>
      <c r="F276">
        <v>1</v>
      </c>
      <c r="G276">
        <v>1796</v>
      </c>
      <c r="H276">
        <v>0.06</v>
      </c>
    </row>
    <row r="277" spans="1:8">
      <c r="A277" t="s">
        <v>1248</v>
      </c>
      <c r="B277" t="s">
        <v>959</v>
      </c>
      <c r="C277">
        <v>1072.6799999999901</v>
      </c>
      <c r="D277">
        <v>1803168.25</v>
      </c>
      <c r="E277">
        <v>0.06</v>
      </c>
      <c r="F277">
        <v>9</v>
      </c>
      <c r="G277">
        <v>14468</v>
      </c>
      <c r="H277">
        <v>0.06</v>
      </c>
    </row>
    <row r="278" spans="1:8">
      <c r="A278" t="s">
        <v>1248</v>
      </c>
      <c r="B278" t="s">
        <v>1128</v>
      </c>
      <c r="C278">
        <v>93</v>
      </c>
      <c r="D278">
        <v>226813.40999999901</v>
      </c>
      <c r="E278">
        <v>0.04</v>
      </c>
      <c r="F278">
        <v>1</v>
      </c>
      <c r="G278">
        <v>1472</v>
      </c>
      <c r="H278">
        <v>7.0000000000000007E-2</v>
      </c>
    </row>
    <row r="279" spans="1:8">
      <c r="A279" t="s">
        <v>1248</v>
      </c>
      <c r="B279" t="s">
        <v>920</v>
      </c>
      <c r="C279">
        <v>207.18</v>
      </c>
      <c r="D279">
        <v>683400.24999999895</v>
      </c>
      <c r="E279">
        <v>0.03</v>
      </c>
      <c r="F279">
        <v>6</v>
      </c>
      <c r="G279">
        <v>5736</v>
      </c>
      <c r="H279">
        <v>0.1</v>
      </c>
    </row>
    <row r="280" spans="1:8">
      <c r="A280" t="s">
        <v>1249</v>
      </c>
      <c r="B280" t="s">
        <v>1027</v>
      </c>
      <c r="C280">
        <v>649.99</v>
      </c>
      <c r="D280">
        <v>155690.51</v>
      </c>
      <c r="E280">
        <v>0.42</v>
      </c>
      <c r="F280">
        <v>3</v>
      </c>
      <c r="G280">
        <v>1047</v>
      </c>
      <c r="H280">
        <v>0.28999999999999998</v>
      </c>
    </row>
    <row r="281" spans="1:8">
      <c r="A281" t="s">
        <v>1249</v>
      </c>
      <c r="B281" t="s">
        <v>908</v>
      </c>
      <c r="C281">
        <v>19200.159999999902</v>
      </c>
      <c r="D281">
        <v>5195744.47999998</v>
      </c>
      <c r="E281">
        <v>0.37</v>
      </c>
      <c r="F281">
        <v>144</v>
      </c>
      <c r="G281">
        <v>47399</v>
      </c>
      <c r="H281">
        <v>0.3</v>
      </c>
    </row>
    <row r="282" spans="1:8">
      <c r="A282" t="s">
        <v>1249</v>
      </c>
      <c r="B282" t="s">
        <v>913</v>
      </c>
      <c r="C282">
        <v>5877.18</v>
      </c>
      <c r="D282">
        <v>1577629.1</v>
      </c>
      <c r="E282">
        <v>0.37</v>
      </c>
      <c r="F282">
        <v>38</v>
      </c>
      <c r="G282">
        <v>13110</v>
      </c>
      <c r="H282">
        <v>0.28999999999999998</v>
      </c>
    </row>
    <row r="283" spans="1:8">
      <c r="A283" t="s">
        <v>1249</v>
      </c>
      <c r="B283" t="s">
        <v>1040</v>
      </c>
      <c r="C283">
        <v>985</v>
      </c>
      <c r="D283">
        <v>293729.82999999903</v>
      </c>
      <c r="E283">
        <v>0.34</v>
      </c>
      <c r="F283">
        <v>5</v>
      </c>
      <c r="G283">
        <v>2316</v>
      </c>
      <c r="H283">
        <v>0.22</v>
      </c>
    </row>
    <row r="284" spans="1:8">
      <c r="A284" t="s">
        <v>1249</v>
      </c>
      <c r="B284" t="s">
        <v>920</v>
      </c>
      <c r="C284">
        <v>2061.88</v>
      </c>
      <c r="D284">
        <v>683400.24999999895</v>
      </c>
      <c r="E284">
        <v>0.3</v>
      </c>
      <c r="F284">
        <v>13</v>
      </c>
      <c r="G284">
        <v>5736</v>
      </c>
      <c r="H284">
        <v>0.23</v>
      </c>
    </row>
    <row r="285" spans="1:8">
      <c r="A285" t="s">
        <v>1249</v>
      </c>
      <c r="B285" t="s">
        <v>925</v>
      </c>
      <c r="C285">
        <v>2252.5300000000002</v>
      </c>
      <c r="D285">
        <v>751552.01999999897</v>
      </c>
      <c r="E285">
        <v>0.3</v>
      </c>
      <c r="F285">
        <v>24</v>
      </c>
      <c r="G285">
        <v>6265</v>
      </c>
      <c r="H285">
        <v>0.38</v>
      </c>
    </row>
    <row r="286" spans="1:8">
      <c r="A286" t="s">
        <v>1249</v>
      </c>
      <c r="B286" t="s">
        <v>930</v>
      </c>
      <c r="C286">
        <v>1409.36</v>
      </c>
      <c r="D286">
        <v>514179.52999999898</v>
      </c>
      <c r="E286">
        <v>0.27</v>
      </c>
      <c r="F286">
        <v>14</v>
      </c>
      <c r="G286">
        <v>4156</v>
      </c>
      <c r="H286">
        <v>0.34</v>
      </c>
    </row>
    <row r="287" spans="1:8">
      <c r="A287" t="s">
        <v>1249</v>
      </c>
      <c r="B287" t="s">
        <v>1045</v>
      </c>
      <c r="C287">
        <v>788</v>
      </c>
      <c r="D287">
        <v>303593.40000000002</v>
      </c>
      <c r="E287">
        <v>0.26</v>
      </c>
      <c r="F287">
        <v>4</v>
      </c>
      <c r="G287">
        <v>2416</v>
      </c>
      <c r="H287">
        <v>0.17</v>
      </c>
    </row>
    <row r="288" spans="1:8">
      <c r="A288" t="s">
        <v>1249</v>
      </c>
      <c r="B288" t="s">
        <v>948</v>
      </c>
      <c r="C288">
        <v>662.3</v>
      </c>
      <c r="D288">
        <v>263711.51999999897</v>
      </c>
      <c r="E288">
        <v>0.25</v>
      </c>
      <c r="F288">
        <v>5</v>
      </c>
      <c r="G288">
        <v>2237</v>
      </c>
      <c r="H288">
        <v>0.22</v>
      </c>
    </row>
    <row r="289" spans="1:8">
      <c r="A289" t="s">
        <v>1249</v>
      </c>
      <c r="B289" t="s">
        <v>959</v>
      </c>
      <c r="C289">
        <v>3257.91</v>
      </c>
      <c r="D289">
        <v>1803168.25</v>
      </c>
      <c r="E289">
        <v>0.18</v>
      </c>
      <c r="F289">
        <v>21</v>
      </c>
      <c r="G289">
        <v>14468</v>
      </c>
      <c r="H289">
        <v>0.15</v>
      </c>
    </row>
    <row r="290" spans="1:8">
      <c r="A290" t="s">
        <v>1249</v>
      </c>
      <c r="B290" t="s">
        <v>1179</v>
      </c>
      <c r="C290">
        <v>384.98</v>
      </c>
      <c r="D290">
        <v>261821.53999999899</v>
      </c>
      <c r="E290">
        <v>0.15</v>
      </c>
      <c r="F290">
        <v>3</v>
      </c>
      <c r="G290">
        <v>1796</v>
      </c>
      <c r="H290">
        <v>0.17</v>
      </c>
    </row>
    <row r="291" spans="1:8">
      <c r="A291" t="s">
        <v>1249</v>
      </c>
      <c r="B291" t="s">
        <v>1064</v>
      </c>
      <c r="C291">
        <v>744.06</v>
      </c>
      <c r="D291">
        <v>508609.12999999902</v>
      </c>
      <c r="E291">
        <v>0.15</v>
      </c>
      <c r="F291">
        <v>6</v>
      </c>
      <c r="G291">
        <v>3766</v>
      </c>
      <c r="H291">
        <v>0.16</v>
      </c>
    </row>
    <row r="292" spans="1:8">
      <c r="A292" t="s">
        <v>1249</v>
      </c>
      <c r="B292" t="s">
        <v>1128</v>
      </c>
      <c r="C292">
        <v>219.9</v>
      </c>
      <c r="D292">
        <v>226813.40999999901</v>
      </c>
      <c r="E292">
        <v>0.1</v>
      </c>
      <c r="F292">
        <v>1</v>
      </c>
      <c r="G292">
        <v>1472</v>
      </c>
      <c r="H292">
        <v>7.0000000000000007E-2</v>
      </c>
    </row>
    <row r="293" spans="1:8">
      <c r="A293" t="s">
        <v>1249</v>
      </c>
      <c r="B293" t="s">
        <v>1208</v>
      </c>
      <c r="C293">
        <v>29</v>
      </c>
      <c r="D293">
        <v>175925.19</v>
      </c>
      <c r="E293">
        <v>0.02</v>
      </c>
      <c r="F293">
        <v>1</v>
      </c>
      <c r="G293">
        <v>1067</v>
      </c>
      <c r="H293">
        <v>0.09</v>
      </c>
    </row>
    <row r="294" spans="1:8">
      <c r="A294" t="s">
        <v>1250</v>
      </c>
      <c r="B294" t="s">
        <v>1128</v>
      </c>
      <c r="C294">
        <v>1988</v>
      </c>
      <c r="D294">
        <v>226813.40999999901</v>
      </c>
      <c r="E294">
        <v>0.88</v>
      </c>
      <c r="F294">
        <v>8</v>
      </c>
      <c r="G294">
        <v>1472</v>
      </c>
      <c r="H294">
        <v>0.54</v>
      </c>
    </row>
    <row r="295" spans="1:8">
      <c r="A295" t="s">
        <v>1250</v>
      </c>
      <c r="B295" t="s">
        <v>1179</v>
      </c>
      <c r="C295">
        <v>995.54</v>
      </c>
      <c r="D295">
        <v>261821.53999999899</v>
      </c>
      <c r="E295">
        <v>0.38</v>
      </c>
      <c r="F295">
        <v>6</v>
      </c>
      <c r="G295">
        <v>1796</v>
      </c>
      <c r="H295">
        <v>0.33</v>
      </c>
    </row>
    <row r="296" spans="1:8">
      <c r="A296" t="s">
        <v>1250</v>
      </c>
      <c r="B296" t="s">
        <v>959</v>
      </c>
      <c r="C296">
        <v>6503.25</v>
      </c>
      <c r="D296">
        <v>1803168.25</v>
      </c>
      <c r="E296">
        <v>0.36</v>
      </c>
      <c r="F296">
        <v>39</v>
      </c>
      <c r="G296">
        <v>14468</v>
      </c>
      <c r="H296">
        <v>0.27</v>
      </c>
    </row>
    <row r="297" spans="1:8">
      <c r="A297" t="s">
        <v>1250</v>
      </c>
      <c r="B297" t="s">
        <v>1064</v>
      </c>
      <c r="C297">
        <v>1569.3899999999901</v>
      </c>
      <c r="D297">
        <v>508609.12999999902</v>
      </c>
      <c r="E297">
        <v>0.31</v>
      </c>
      <c r="F297">
        <v>8</v>
      </c>
      <c r="G297">
        <v>3766</v>
      </c>
      <c r="H297">
        <v>0.21</v>
      </c>
    </row>
    <row r="298" spans="1:8">
      <c r="A298" t="s">
        <v>1250</v>
      </c>
      <c r="B298" t="s">
        <v>948</v>
      </c>
      <c r="C298">
        <v>489.8</v>
      </c>
      <c r="D298">
        <v>263711.51999999897</v>
      </c>
      <c r="E298">
        <v>0.19</v>
      </c>
      <c r="F298">
        <v>5</v>
      </c>
      <c r="G298">
        <v>2237</v>
      </c>
      <c r="H298">
        <v>0.22</v>
      </c>
    </row>
    <row r="299" spans="1:8">
      <c r="A299" t="s">
        <v>1250</v>
      </c>
      <c r="B299" t="s">
        <v>913</v>
      </c>
      <c r="C299">
        <v>2461.48</v>
      </c>
      <c r="D299">
        <v>1577629.1</v>
      </c>
      <c r="E299">
        <v>0.16</v>
      </c>
      <c r="F299">
        <v>31</v>
      </c>
      <c r="G299">
        <v>13110</v>
      </c>
      <c r="H299">
        <v>0.24</v>
      </c>
    </row>
    <row r="300" spans="1:8">
      <c r="A300" t="s">
        <v>1250</v>
      </c>
      <c r="B300" t="s">
        <v>1045</v>
      </c>
      <c r="C300">
        <v>410.7</v>
      </c>
      <c r="D300">
        <v>303593.40000000002</v>
      </c>
      <c r="E300">
        <v>0.14000000000000001</v>
      </c>
      <c r="F300">
        <v>5</v>
      </c>
      <c r="G300">
        <v>2416</v>
      </c>
      <c r="H300">
        <v>0.21</v>
      </c>
    </row>
    <row r="301" spans="1:8">
      <c r="A301" t="s">
        <v>1250</v>
      </c>
      <c r="B301" t="s">
        <v>908</v>
      </c>
      <c r="C301">
        <v>7507.15</v>
      </c>
      <c r="D301">
        <v>5195744.47999998</v>
      </c>
      <c r="E301">
        <v>0.14000000000000001</v>
      </c>
      <c r="F301">
        <v>100</v>
      </c>
      <c r="G301">
        <v>47399</v>
      </c>
      <c r="H301">
        <v>0.21</v>
      </c>
    </row>
    <row r="302" spans="1:8">
      <c r="A302" t="s">
        <v>1250</v>
      </c>
      <c r="B302" t="s">
        <v>925</v>
      </c>
      <c r="C302">
        <v>1012.98</v>
      </c>
      <c r="D302">
        <v>751552.01999999897</v>
      </c>
      <c r="E302">
        <v>0.13</v>
      </c>
      <c r="F302">
        <v>7</v>
      </c>
      <c r="G302">
        <v>6265</v>
      </c>
      <c r="H302">
        <v>0.11</v>
      </c>
    </row>
    <row r="303" spans="1:8">
      <c r="A303" t="s">
        <v>1250</v>
      </c>
      <c r="B303" t="s">
        <v>1040</v>
      </c>
      <c r="C303">
        <v>330.7</v>
      </c>
      <c r="D303">
        <v>293729.82999999903</v>
      </c>
      <c r="E303">
        <v>0.11</v>
      </c>
      <c r="F303">
        <v>5</v>
      </c>
      <c r="G303">
        <v>2316</v>
      </c>
      <c r="H303">
        <v>0.22</v>
      </c>
    </row>
    <row r="304" spans="1:8">
      <c r="A304" t="s">
        <v>1250</v>
      </c>
      <c r="B304" t="s">
        <v>920</v>
      </c>
      <c r="C304">
        <v>648.58999999999901</v>
      </c>
      <c r="D304">
        <v>683400.24999999895</v>
      </c>
      <c r="E304">
        <v>0.09</v>
      </c>
      <c r="F304">
        <v>6</v>
      </c>
      <c r="G304">
        <v>5736</v>
      </c>
      <c r="H304">
        <v>0.1</v>
      </c>
    </row>
    <row r="305" spans="1:8">
      <c r="A305" t="s">
        <v>1250</v>
      </c>
      <c r="B305" t="s">
        <v>1208</v>
      </c>
      <c r="C305">
        <v>139.9</v>
      </c>
      <c r="D305">
        <v>175925.19</v>
      </c>
      <c r="E305">
        <v>0.08</v>
      </c>
      <c r="F305">
        <v>1</v>
      </c>
      <c r="G305">
        <v>1067</v>
      </c>
      <c r="H305">
        <v>0.09</v>
      </c>
    </row>
    <row r="306" spans="1:8">
      <c r="A306" t="s">
        <v>1250</v>
      </c>
      <c r="B306" t="s">
        <v>930</v>
      </c>
      <c r="C306">
        <v>234.2</v>
      </c>
      <c r="D306">
        <v>514179.52999999898</v>
      </c>
      <c r="E306">
        <v>0.05</v>
      </c>
      <c r="F306">
        <v>5</v>
      </c>
      <c r="G306">
        <v>4156</v>
      </c>
      <c r="H306">
        <v>0.12</v>
      </c>
    </row>
    <row r="307" spans="1:8">
      <c r="A307" t="s">
        <v>1251</v>
      </c>
      <c r="B307" t="s">
        <v>1027</v>
      </c>
      <c r="C307">
        <v>1063.5899999999999</v>
      </c>
      <c r="D307">
        <v>155690.51</v>
      </c>
      <c r="E307">
        <v>0.68</v>
      </c>
      <c r="F307">
        <v>4</v>
      </c>
      <c r="G307">
        <v>1047</v>
      </c>
      <c r="H307">
        <v>0.38</v>
      </c>
    </row>
    <row r="308" spans="1:8">
      <c r="A308" t="s">
        <v>1251</v>
      </c>
      <c r="B308" t="s">
        <v>930</v>
      </c>
      <c r="C308">
        <v>2850.64</v>
      </c>
      <c r="D308">
        <v>514179.52999999898</v>
      </c>
      <c r="E308">
        <v>0.55000000000000004</v>
      </c>
      <c r="F308">
        <v>13</v>
      </c>
      <c r="G308">
        <v>4156</v>
      </c>
      <c r="H308">
        <v>0.31</v>
      </c>
    </row>
    <row r="309" spans="1:8">
      <c r="A309" t="s">
        <v>1251</v>
      </c>
      <c r="B309" t="s">
        <v>913</v>
      </c>
      <c r="C309">
        <v>7546.7599999999902</v>
      </c>
      <c r="D309">
        <v>1577629.1</v>
      </c>
      <c r="E309">
        <v>0.48</v>
      </c>
      <c r="F309">
        <v>29</v>
      </c>
      <c r="G309">
        <v>13110</v>
      </c>
      <c r="H309">
        <v>0.22</v>
      </c>
    </row>
    <row r="310" spans="1:8">
      <c r="A310" t="s">
        <v>1251</v>
      </c>
      <c r="B310" t="s">
        <v>1064</v>
      </c>
      <c r="C310">
        <v>2384.9299999999998</v>
      </c>
      <c r="D310">
        <v>508609.12999999902</v>
      </c>
      <c r="E310">
        <v>0.47</v>
      </c>
      <c r="F310">
        <v>7</v>
      </c>
      <c r="G310">
        <v>3766</v>
      </c>
      <c r="H310">
        <v>0.19</v>
      </c>
    </row>
    <row r="311" spans="1:8">
      <c r="A311" t="s">
        <v>1251</v>
      </c>
      <c r="B311" t="s">
        <v>1128</v>
      </c>
      <c r="C311">
        <v>882.63</v>
      </c>
      <c r="D311">
        <v>226813.40999999901</v>
      </c>
      <c r="E311">
        <v>0.39</v>
      </c>
      <c r="F311">
        <v>5</v>
      </c>
      <c r="G311">
        <v>1472</v>
      </c>
      <c r="H311">
        <v>0.34</v>
      </c>
    </row>
    <row r="312" spans="1:8">
      <c r="A312" t="s">
        <v>1251</v>
      </c>
      <c r="B312" t="s">
        <v>1179</v>
      </c>
      <c r="C312">
        <v>1016.18</v>
      </c>
      <c r="D312">
        <v>261821.53999999899</v>
      </c>
      <c r="E312">
        <v>0.39</v>
      </c>
      <c r="F312">
        <v>4</v>
      </c>
      <c r="G312">
        <v>1796</v>
      </c>
      <c r="H312">
        <v>0.22</v>
      </c>
    </row>
    <row r="313" spans="1:8">
      <c r="A313" t="s">
        <v>1251</v>
      </c>
      <c r="B313" t="s">
        <v>920</v>
      </c>
      <c r="C313">
        <v>2184.5099999999902</v>
      </c>
      <c r="D313">
        <v>683400.24999999895</v>
      </c>
      <c r="E313">
        <v>0.32</v>
      </c>
      <c r="F313">
        <v>18</v>
      </c>
      <c r="G313">
        <v>5736</v>
      </c>
      <c r="H313">
        <v>0.31</v>
      </c>
    </row>
    <row r="314" spans="1:8">
      <c r="A314" t="s">
        <v>1251</v>
      </c>
      <c r="B314" t="s">
        <v>908</v>
      </c>
      <c r="C314">
        <v>14227.469999999899</v>
      </c>
      <c r="D314">
        <v>5195744.47999998</v>
      </c>
      <c r="E314">
        <v>0.27</v>
      </c>
      <c r="F314">
        <v>66</v>
      </c>
      <c r="G314">
        <v>47399</v>
      </c>
      <c r="H314">
        <v>0.14000000000000001</v>
      </c>
    </row>
    <row r="315" spans="1:8">
      <c r="A315" t="s">
        <v>1251</v>
      </c>
      <c r="B315" t="s">
        <v>1040</v>
      </c>
      <c r="C315">
        <v>622.4</v>
      </c>
      <c r="D315">
        <v>293729.82999999903</v>
      </c>
      <c r="E315">
        <v>0.21</v>
      </c>
      <c r="F315">
        <v>7</v>
      </c>
      <c r="G315">
        <v>2316</v>
      </c>
      <c r="H315">
        <v>0.3</v>
      </c>
    </row>
    <row r="316" spans="1:8">
      <c r="A316" t="s">
        <v>1251</v>
      </c>
      <c r="B316" t="s">
        <v>1045</v>
      </c>
      <c r="C316">
        <v>520.17999999999995</v>
      </c>
      <c r="D316">
        <v>303593.40000000002</v>
      </c>
      <c r="E316">
        <v>0.17</v>
      </c>
      <c r="F316">
        <v>3</v>
      </c>
      <c r="G316">
        <v>2416</v>
      </c>
      <c r="H316">
        <v>0.12</v>
      </c>
    </row>
    <row r="317" spans="1:8">
      <c r="A317" t="s">
        <v>1251</v>
      </c>
      <c r="B317" t="s">
        <v>925</v>
      </c>
      <c r="C317">
        <v>1176.31</v>
      </c>
      <c r="D317">
        <v>751552.01999999897</v>
      </c>
      <c r="E317">
        <v>0.16</v>
      </c>
      <c r="F317">
        <v>8</v>
      </c>
      <c r="G317">
        <v>6265</v>
      </c>
      <c r="H317">
        <v>0.13</v>
      </c>
    </row>
    <row r="318" spans="1:8">
      <c r="A318" t="s">
        <v>1251</v>
      </c>
      <c r="B318" t="s">
        <v>959</v>
      </c>
      <c r="C318">
        <v>2707.43</v>
      </c>
      <c r="D318">
        <v>1803168.25</v>
      </c>
      <c r="E318">
        <v>0.15</v>
      </c>
      <c r="F318">
        <v>16</v>
      </c>
      <c r="G318">
        <v>14468</v>
      </c>
      <c r="H318">
        <v>0.11</v>
      </c>
    </row>
    <row r="319" spans="1:8">
      <c r="A319" t="s">
        <v>1252</v>
      </c>
      <c r="B319" t="s">
        <v>1040</v>
      </c>
      <c r="C319">
        <v>22108.179999999898</v>
      </c>
      <c r="D319">
        <v>293729.82999999903</v>
      </c>
      <c r="E319">
        <v>7.53</v>
      </c>
      <c r="F319">
        <v>99</v>
      </c>
      <c r="G319">
        <v>2316</v>
      </c>
      <c r="H319">
        <v>4.2699999999999996</v>
      </c>
    </row>
    <row r="320" spans="1:8">
      <c r="A320" t="s">
        <v>1252</v>
      </c>
      <c r="B320" t="s">
        <v>925</v>
      </c>
      <c r="C320">
        <v>46400.359999999899</v>
      </c>
      <c r="D320">
        <v>751552.01999999897</v>
      </c>
      <c r="E320">
        <v>6.17</v>
      </c>
      <c r="F320">
        <v>260</v>
      </c>
      <c r="G320">
        <v>6265</v>
      </c>
      <c r="H320">
        <v>4.1500000000000004</v>
      </c>
    </row>
    <row r="321" spans="1:8">
      <c r="A321" t="s">
        <v>1252</v>
      </c>
      <c r="B321" t="s">
        <v>930</v>
      </c>
      <c r="C321">
        <v>28353.809999999899</v>
      </c>
      <c r="D321">
        <v>514179.52999999898</v>
      </c>
      <c r="E321">
        <v>5.51</v>
      </c>
      <c r="F321">
        <v>158</v>
      </c>
      <c r="G321">
        <v>4156</v>
      </c>
      <c r="H321">
        <v>3.8</v>
      </c>
    </row>
    <row r="322" spans="1:8">
      <c r="A322" t="s">
        <v>1252</v>
      </c>
      <c r="B322" t="s">
        <v>920</v>
      </c>
      <c r="C322">
        <v>37139.229999999901</v>
      </c>
      <c r="D322">
        <v>683400.24999999895</v>
      </c>
      <c r="E322">
        <v>5.43</v>
      </c>
      <c r="F322">
        <v>213</v>
      </c>
      <c r="G322">
        <v>5736</v>
      </c>
      <c r="H322">
        <v>3.71</v>
      </c>
    </row>
    <row r="323" spans="1:8">
      <c r="A323" t="s">
        <v>1252</v>
      </c>
      <c r="B323" t="s">
        <v>1179</v>
      </c>
      <c r="C323">
        <v>14030.5199999999</v>
      </c>
      <c r="D323">
        <v>261821.53999999899</v>
      </c>
      <c r="E323">
        <v>5.36</v>
      </c>
      <c r="F323">
        <v>78</v>
      </c>
      <c r="G323">
        <v>1796</v>
      </c>
      <c r="H323">
        <v>4.34</v>
      </c>
    </row>
    <row r="324" spans="1:8">
      <c r="A324" t="s">
        <v>1252</v>
      </c>
      <c r="B324" t="s">
        <v>1128</v>
      </c>
      <c r="C324">
        <v>12115.4099999999</v>
      </c>
      <c r="D324">
        <v>226813.40999999901</v>
      </c>
      <c r="E324">
        <v>5.34</v>
      </c>
      <c r="F324">
        <v>50</v>
      </c>
      <c r="G324">
        <v>1472</v>
      </c>
      <c r="H324">
        <v>3.4</v>
      </c>
    </row>
    <row r="325" spans="1:8">
      <c r="A325" t="s">
        <v>1252</v>
      </c>
      <c r="B325" t="s">
        <v>1027</v>
      </c>
      <c r="C325">
        <v>7408.5199999999904</v>
      </c>
      <c r="D325">
        <v>155690.51</v>
      </c>
      <c r="E325">
        <v>4.76</v>
      </c>
      <c r="F325">
        <v>46</v>
      </c>
      <c r="G325">
        <v>1047</v>
      </c>
      <c r="H325">
        <v>4.3899999999999997</v>
      </c>
    </row>
    <row r="326" spans="1:8">
      <c r="A326" t="s">
        <v>1252</v>
      </c>
      <c r="B326" t="s">
        <v>1064</v>
      </c>
      <c r="C326">
        <v>23780.039999999899</v>
      </c>
      <c r="D326">
        <v>508609.12999999902</v>
      </c>
      <c r="E326">
        <v>4.68</v>
      </c>
      <c r="F326">
        <v>146</v>
      </c>
      <c r="G326">
        <v>3766</v>
      </c>
      <c r="H326">
        <v>3.88</v>
      </c>
    </row>
    <row r="327" spans="1:8">
      <c r="A327" t="s">
        <v>1252</v>
      </c>
      <c r="B327" t="s">
        <v>913</v>
      </c>
      <c r="C327">
        <v>71879.48</v>
      </c>
      <c r="D327">
        <v>1577629.1</v>
      </c>
      <c r="E327">
        <v>4.5599999999999996</v>
      </c>
      <c r="F327">
        <v>458</v>
      </c>
      <c r="G327">
        <v>13110</v>
      </c>
      <c r="H327">
        <v>3.49</v>
      </c>
    </row>
    <row r="328" spans="1:8">
      <c r="A328" t="s">
        <v>1252</v>
      </c>
      <c r="B328" t="s">
        <v>959</v>
      </c>
      <c r="C328">
        <v>82115.110000000102</v>
      </c>
      <c r="D328">
        <v>1803168.25</v>
      </c>
      <c r="E328">
        <v>4.55</v>
      </c>
      <c r="F328">
        <v>516</v>
      </c>
      <c r="G328">
        <v>14468</v>
      </c>
      <c r="H328">
        <v>3.57</v>
      </c>
    </row>
    <row r="329" spans="1:8">
      <c r="A329" t="s">
        <v>1252</v>
      </c>
      <c r="B329" t="s">
        <v>948</v>
      </c>
      <c r="C329">
        <v>10909.8299999999</v>
      </c>
      <c r="D329">
        <v>263711.51999999897</v>
      </c>
      <c r="E329">
        <v>4.1399999999999997</v>
      </c>
      <c r="F329">
        <v>66</v>
      </c>
      <c r="G329">
        <v>2237</v>
      </c>
      <c r="H329">
        <v>2.95</v>
      </c>
    </row>
    <row r="330" spans="1:8">
      <c r="A330" t="s">
        <v>1252</v>
      </c>
      <c r="B330" t="s">
        <v>1045</v>
      </c>
      <c r="C330">
        <v>12532.289999999901</v>
      </c>
      <c r="D330">
        <v>303593.40000000002</v>
      </c>
      <c r="E330">
        <v>4.13</v>
      </c>
      <c r="F330">
        <v>81</v>
      </c>
      <c r="G330">
        <v>2416</v>
      </c>
      <c r="H330">
        <v>3.35</v>
      </c>
    </row>
    <row r="331" spans="1:8">
      <c r="A331" t="s">
        <v>1252</v>
      </c>
      <c r="B331" t="s">
        <v>908</v>
      </c>
      <c r="C331">
        <v>212150.11999999901</v>
      </c>
      <c r="D331">
        <v>5195744.47999998</v>
      </c>
      <c r="E331">
        <v>4.08</v>
      </c>
      <c r="F331">
        <v>1358</v>
      </c>
      <c r="G331">
        <v>47399</v>
      </c>
      <c r="H331">
        <v>2.87</v>
      </c>
    </row>
    <row r="332" spans="1:8">
      <c r="A332" t="s">
        <v>1252</v>
      </c>
      <c r="B332" t="s">
        <v>1208</v>
      </c>
      <c r="C332">
        <v>7173.1</v>
      </c>
      <c r="D332">
        <v>175925.19</v>
      </c>
      <c r="E332">
        <v>4.08</v>
      </c>
      <c r="F332">
        <v>47</v>
      </c>
      <c r="G332">
        <v>1067</v>
      </c>
      <c r="H332">
        <v>4.4000000000000004</v>
      </c>
    </row>
    <row r="333" spans="1:8">
      <c r="A333" t="s">
        <v>1253</v>
      </c>
      <c r="B333" t="s">
        <v>908</v>
      </c>
      <c r="C333">
        <v>4292.66</v>
      </c>
      <c r="D333">
        <v>5195744.47999998</v>
      </c>
      <c r="E333">
        <v>0.08</v>
      </c>
      <c r="F333">
        <v>23</v>
      </c>
      <c r="G333">
        <v>47399</v>
      </c>
      <c r="H333">
        <v>0.05</v>
      </c>
    </row>
    <row r="334" spans="1:8">
      <c r="A334" t="s">
        <v>1253</v>
      </c>
      <c r="B334" t="s">
        <v>1045</v>
      </c>
      <c r="C334">
        <v>120.789999999999</v>
      </c>
      <c r="D334">
        <v>303593.40000000002</v>
      </c>
      <c r="E334">
        <v>0.04</v>
      </c>
      <c r="F334">
        <v>3</v>
      </c>
      <c r="G334">
        <v>2416</v>
      </c>
      <c r="H334">
        <v>0.12</v>
      </c>
    </row>
    <row r="335" spans="1:8">
      <c r="A335" t="s">
        <v>1253</v>
      </c>
      <c r="B335" t="s">
        <v>920</v>
      </c>
      <c r="C335">
        <v>104.5</v>
      </c>
      <c r="D335">
        <v>683400.24999999895</v>
      </c>
      <c r="E335">
        <v>0.02</v>
      </c>
      <c r="F335">
        <v>5</v>
      </c>
      <c r="G335">
        <v>5736</v>
      </c>
      <c r="H335">
        <v>0.09</v>
      </c>
    </row>
    <row r="336" spans="1:8">
      <c r="A336" t="s">
        <v>1253</v>
      </c>
      <c r="B336" t="s">
        <v>913</v>
      </c>
      <c r="C336">
        <v>268.77999999999997</v>
      </c>
      <c r="D336">
        <v>1577629.1</v>
      </c>
      <c r="E336">
        <v>0.02</v>
      </c>
      <c r="F336">
        <v>4</v>
      </c>
      <c r="G336">
        <v>13110</v>
      </c>
      <c r="H336">
        <v>0.03</v>
      </c>
    </row>
    <row r="337" spans="1:8">
      <c r="A337" t="s">
        <v>1253</v>
      </c>
      <c r="B337" t="s">
        <v>925</v>
      </c>
      <c r="C337">
        <v>153.6</v>
      </c>
      <c r="D337">
        <v>751552.01999999897</v>
      </c>
      <c r="E337">
        <v>0.02</v>
      </c>
      <c r="F337">
        <v>4</v>
      </c>
      <c r="G337">
        <v>6265</v>
      </c>
      <c r="H337">
        <v>0.06</v>
      </c>
    </row>
    <row r="338" spans="1:8">
      <c r="A338" t="s">
        <v>1253</v>
      </c>
      <c r="B338" t="s">
        <v>959</v>
      </c>
      <c r="C338">
        <v>402.159999999999</v>
      </c>
      <c r="D338">
        <v>1803168.25</v>
      </c>
      <c r="E338">
        <v>0.02</v>
      </c>
      <c r="F338">
        <v>12</v>
      </c>
      <c r="G338">
        <v>14468</v>
      </c>
      <c r="H338">
        <v>0.08</v>
      </c>
    </row>
    <row r="339" spans="1:8">
      <c r="A339" t="s">
        <v>1253</v>
      </c>
      <c r="B339" t="s">
        <v>1040</v>
      </c>
      <c r="C339">
        <v>19.899999999999999</v>
      </c>
      <c r="D339">
        <v>293729.82999999903</v>
      </c>
      <c r="E339">
        <v>0.01</v>
      </c>
      <c r="F339">
        <v>1</v>
      </c>
      <c r="G339">
        <v>2316</v>
      </c>
      <c r="H339">
        <v>0.04</v>
      </c>
    </row>
    <row r="340" spans="1:8">
      <c r="A340" t="s">
        <v>1253</v>
      </c>
      <c r="B340" t="s">
        <v>930</v>
      </c>
      <c r="C340">
        <v>44.8</v>
      </c>
      <c r="D340">
        <v>514179.52999999898</v>
      </c>
      <c r="E340">
        <v>0.01</v>
      </c>
      <c r="F340">
        <v>2</v>
      </c>
      <c r="G340">
        <v>4156</v>
      </c>
      <c r="H340">
        <v>0.05</v>
      </c>
    </row>
    <row r="341" spans="1:8">
      <c r="A341" t="s">
        <v>1253</v>
      </c>
      <c r="B341" t="s">
        <v>1179</v>
      </c>
      <c r="C341">
        <v>34.799999999999997</v>
      </c>
      <c r="D341">
        <v>261821.53999999899</v>
      </c>
      <c r="E341">
        <v>0.01</v>
      </c>
      <c r="F341">
        <v>2</v>
      </c>
      <c r="G341">
        <v>1796</v>
      </c>
      <c r="H341">
        <v>0.11</v>
      </c>
    </row>
    <row r="342" spans="1:8">
      <c r="A342" t="s">
        <v>1254</v>
      </c>
      <c r="B342" t="s">
        <v>920</v>
      </c>
      <c r="C342">
        <v>5896.1</v>
      </c>
      <c r="D342">
        <v>683400.24999999895</v>
      </c>
      <c r="E342">
        <v>0.86</v>
      </c>
      <c r="F342">
        <v>46</v>
      </c>
      <c r="G342">
        <v>5736</v>
      </c>
      <c r="H342">
        <v>0.8</v>
      </c>
    </row>
    <row r="343" spans="1:8">
      <c r="A343" t="s">
        <v>1254</v>
      </c>
      <c r="B343" t="s">
        <v>925</v>
      </c>
      <c r="C343">
        <v>6141.3799999999901</v>
      </c>
      <c r="D343">
        <v>751552.01999999897</v>
      </c>
      <c r="E343">
        <v>0.82</v>
      </c>
      <c r="F343">
        <v>44</v>
      </c>
      <c r="G343">
        <v>6265</v>
      </c>
      <c r="H343">
        <v>0.7</v>
      </c>
    </row>
    <row r="344" spans="1:8">
      <c r="A344" t="s">
        <v>1254</v>
      </c>
      <c r="B344" t="s">
        <v>1128</v>
      </c>
      <c r="C344">
        <v>1680.9</v>
      </c>
      <c r="D344">
        <v>226813.40999999901</v>
      </c>
      <c r="E344">
        <v>0.74</v>
      </c>
      <c r="F344">
        <v>7</v>
      </c>
      <c r="G344">
        <v>1472</v>
      </c>
      <c r="H344">
        <v>0.48</v>
      </c>
    </row>
    <row r="345" spans="1:8">
      <c r="A345" t="s">
        <v>1254</v>
      </c>
      <c r="B345" t="s">
        <v>908</v>
      </c>
      <c r="C345">
        <v>35941.839999999902</v>
      </c>
      <c r="D345">
        <v>5195744.47999998</v>
      </c>
      <c r="E345">
        <v>0.69</v>
      </c>
      <c r="F345">
        <v>359</v>
      </c>
      <c r="G345">
        <v>47399</v>
      </c>
      <c r="H345">
        <v>0.76</v>
      </c>
    </row>
    <row r="346" spans="1:8">
      <c r="A346" t="s">
        <v>1254</v>
      </c>
      <c r="B346" t="s">
        <v>1027</v>
      </c>
      <c r="C346">
        <v>1022.29</v>
      </c>
      <c r="D346">
        <v>155690.51</v>
      </c>
      <c r="E346">
        <v>0.66</v>
      </c>
      <c r="F346">
        <v>8</v>
      </c>
      <c r="G346">
        <v>1047</v>
      </c>
      <c r="H346">
        <v>0.76</v>
      </c>
    </row>
    <row r="347" spans="1:8">
      <c r="A347" t="s">
        <v>1254</v>
      </c>
      <c r="B347" t="s">
        <v>1045</v>
      </c>
      <c r="C347">
        <v>1811.43</v>
      </c>
      <c r="D347">
        <v>303593.40000000002</v>
      </c>
      <c r="E347">
        <v>0.6</v>
      </c>
      <c r="F347">
        <v>16</v>
      </c>
      <c r="G347">
        <v>2416</v>
      </c>
      <c r="H347">
        <v>0.66</v>
      </c>
    </row>
    <row r="348" spans="1:8">
      <c r="A348" t="s">
        <v>1254</v>
      </c>
      <c r="B348" t="s">
        <v>930</v>
      </c>
      <c r="C348">
        <v>3048.51</v>
      </c>
      <c r="D348">
        <v>514179.52999999898</v>
      </c>
      <c r="E348">
        <v>0.59</v>
      </c>
      <c r="F348">
        <v>25</v>
      </c>
      <c r="G348">
        <v>4156</v>
      </c>
      <c r="H348">
        <v>0.6</v>
      </c>
    </row>
    <row r="349" spans="1:8">
      <c r="A349" t="s">
        <v>1254</v>
      </c>
      <c r="B349" t="s">
        <v>1064</v>
      </c>
      <c r="C349">
        <v>2764.79</v>
      </c>
      <c r="D349">
        <v>508609.12999999902</v>
      </c>
      <c r="E349">
        <v>0.54</v>
      </c>
      <c r="F349">
        <v>40</v>
      </c>
      <c r="G349">
        <v>3766</v>
      </c>
      <c r="H349">
        <v>1.06</v>
      </c>
    </row>
    <row r="350" spans="1:8">
      <c r="A350" t="s">
        <v>1254</v>
      </c>
      <c r="B350" t="s">
        <v>959</v>
      </c>
      <c r="C350">
        <v>9358.58</v>
      </c>
      <c r="D350">
        <v>1803168.25</v>
      </c>
      <c r="E350">
        <v>0.52</v>
      </c>
      <c r="F350">
        <v>93</v>
      </c>
      <c r="G350">
        <v>14468</v>
      </c>
      <c r="H350">
        <v>0.64</v>
      </c>
    </row>
    <row r="351" spans="1:8">
      <c r="A351" t="s">
        <v>1254</v>
      </c>
      <c r="B351" t="s">
        <v>948</v>
      </c>
      <c r="C351">
        <v>1120.96</v>
      </c>
      <c r="D351">
        <v>263711.51999999897</v>
      </c>
      <c r="E351">
        <v>0.43</v>
      </c>
      <c r="F351">
        <v>15</v>
      </c>
      <c r="G351">
        <v>2237</v>
      </c>
      <c r="H351">
        <v>0.67</v>
      </c>
    </row>
    <row r="352" spans="1:8">
      <c r="A352" t="s">
        <v>1254</v>
      </c>
      <c r="B352" t="s">
        <v>913</v>
      </c>
      <c r="C352">
        <v>6074.6299999999901</v>
      </c>
      <c r="D352">
        <v>1577629.1</v>
      </c>
      <c r="E352">
        <v>0.39</v>
      </c>
      <c r="F352">
        <v>93</v>
      </c>
      <c r="G352">
        <v>13110</v>
      </c>
      <c r="H352">
        <v>0.71</v>
      </c>
    </row>
    <row r="353" spans="1:8">
      <c r="A353" t="s">
        <v>1254</v>
      </c>
      <c r="B353" t="s">
        <v>1208</v>
      </c>
      <c r="C353">
        <v>650.54999999999995</v>
      </c>
      <c r="D353">
        <v>175925.19</v>
      </c>
      <c r="E353">
        <v>0.37</v>
      </c>
      <c r="F353">
        <v>10</v>
      </c>
      <c r="G353">
        <v>1067</v>
      </c>
      <c r="H353">
        <v>0.94</v>
      </c>
    </row>
    <row r="354" spans="1:8">
      <c r="A354" t="s">
        <v>1254</v>
      </c>
      <c r="B354" t="s">
        <v>1040</v>
      </c>
      <c r="C354">
        <v>714.28</v>
      </c>
      <c r="D354">
        <v>293729.82999999903</v>
      </c>
      <c r="E354">
        <v>0.24</v>
      </c>
      <c r="F354">
        <v>14</v>
      </c>
      <c r="G354">
        <v>2316</v>
      </c>
      <c r="H354">
        <v>0.6</v>
      </c>
    </row>
    <row r="355" spans="1:8">
      <c r="A355" t="s">
        <v>1254</v>
      </c>
      <c r="B355" t="s">
        <v>1179</v>
      </c>
      <c r="C355">
        <v>237.65</v>
      </c>
      <c r="D355">
        <v>261821.53999999899</v>
      </c>
      <c r="E355">
        <v>0.09</v>
      </c>
      <c r="F355">
        <v>5</v>
      </c>
      <c r="G355">
        <v>1796</v>
      </c>
      <c r="H355">
        <v>0.28000000000000003</v>
      </c>
    </row>
    <row r="356" spans="1:8">
      <c r="A356" t="s">
        <v>1255</v>
      </c>
      <c r="B356" t="s">
        <v>959</v>
      </c>
      <c r="C356">
        <v>28751.61</v>
      </c>
      <c r="D356">
        <v>1803168.25</v>
      </c>
      <c r="E356">
        <v>1.59</v>
      </c>
      <c r="F356">
        <v>45</v>
      </c>
      <c r="G356">
        <v>14468</v>
      </c>
      <c r="H356">
        <v>0.31</v>
      </c>
    </row>
    <row r="357" spans="1:8">
      <c r="A357" t="s">
        <v>1255</v>
      </c>
      <c r="B357" t="s">
        <v>930</v>
      </c>
      <c r="C357">
        <v>7989.3799999999901</v>
      </c>
      <c r="D357">
        <v>514179.52999999898</v>
      </c>
      <c r="E357">
        <v>1.55</v>
      </c>
      <c r="F357">
        <v>17</v>
      </c>
      <c r="G357">
        <v>4156</v>
      </c>
      <c r="H357">
        <v>0.41</v>
      </c>
    </row>
    <row r="358" spans="1:8">
      <c r="A358" t="s">
        <v>1255</v>
      </c>
      <c r="B358" t="s">
        <v>925</v>
      </c>
      <c r="C358">
        <v>10800.18</v>
      </c>
      <c r="D358">
        <v>751552.01999999897</v>
      </c>
      <c r="E358">
        <v>1.44</v>
      </c>
      <c r="F358">
        <v>12</v>
      </c>
      <c r="G358">
        <v>6265</v>
      </c>
      <c r="H358">
        <v>0.19</v>
      </c>
    </row>
    <row r="359" spans="1:8">
      <c r="A359" t="s">
        <v>1255</v>
      </c>
      <c r="B359" t="s">
        <v>1128</v>
      </c>
      <c r="C359">
        <v>2653.9</v>
      </c>
      <c r="D359">
        <v>226813.40999999901</v>
      </c>
      <c r="E359">
        <v>1.17</v>
      </c>
      <c r="F359">
        <v>3</v>
      </c>
      <c r="G359">
        <v>1472</v>
      </c>
      <c r="H359">
        <v>0.2</v>
      </c>
    </row>
    <row r="360" spans="1:8">
      <c r="A360" t="s">
        <v>1255</v>
      </c>
      <c r="B360" t="s">
        <v>920</v>
      </c>
      <c r="C360">
        <v>7359.82</v>
      </c>
      <c r="D360">
        <v>683400.24999999895</v>
      </c>
      <c r="E360">
        <v>1.08</v>
      </c>
      <c r="F360">
        <v>16</v>
      </c>
      <c r="G360">
        <v>5736</v>
      </c>
      <c r="H360">
        <v>0.28000000000000003</v>
      </c>
    </row>
    <row r="361" spans="1:8">
      <c r="A361" t="s">
        <v>1255</v>
      </c>
      <c r="B361" t="s">
        <v>1045</v>
      </c>
      <c r="C361">
        <v>2733.9</v>
      </c>
      <c r="D361">
        <v>303593.40000000002</v>
      </c>
      <c r="E361">
        <v>0.9</v>
      </c>
      <c r="F361">
        <v>5</v>
      </c>
      <c r="G361">
        <v>2416</v>
      </c>
      <c r="H361">
        <v>0.21</v>
      </c>
    </row>
    <row r="362" spans="1:8">
      <c r="A362" t="s">
        <v>1255</v>
      </c>
      <c r="B362" t="s">
        <v>908</v>
      </c>
      <c r="C362">
        <v>33073.7599999999</v>
      </c>
      <c r="D362">
        <v>5195744.47999998</v>
      </c>
      <c r="E362">
        <v>0.64</v>
      </c>
      <c r="F362">
        <v>89</v>
      </c>
      <c r="G362">
        <v>47399</v>
      </c>
      <c r="H362">
        <v>0.19</v>
      </c>
    </row>
    <row r="363" spans="1:8">
      <c r="A363" t="s">
        <v>1255</v>
      </c>
      <c r="B363" t="s">
        <v>1040</v>
      </c>
      <c r="C363">
        <v>1537.9</v>
      </c>
      <c r="D363">
        <v>293729.82999999903</v>
      </c>
      <c r="E363">
        <v>0.52</v>
      </c>
      <c r="F363">
        <v>3</v>
      </c>
      <c r="G363">
        <v>2316</v>
      </c>
      <c r="H363">
        <v>0.13</v>
      </c>
    </row>
    <row r="364" spans="1:8">
      <c r="A364" t="s">
        <v>1255</v>
      </c>
      <c r="B364" t="s">
        <v>1027</v>
      </c>
      <c r="C364">
        <v>815.79</v>
      </c>
      <c r="D364">
        <v>155690.51</v>
      </c>
      <c r="E364">
        <v>0.52</v>
      </c>
      <c r="F364">
        <v>3</v>
      </c>
      <c r="G364">
        <v>1047</v>
      </c>
      <c r="H364">
        <v>0.28999999999999998</v>
      </c>
    </row>
    <row r="365" spans="1:8">
      <c r="A365" t="s">
        <v>1255</v>
      </c>
      <c r="B365" t="s">
        <v>948</v>
      </c>
      <c r="C365">
        <v>1149.99</v>
      </c>
      <c r="D365">
        <v>263711.51999999897</v>
      </c>
      <c r="E365">
        <v>0.44</v>
      </c>
      <c r="F365">
        <v>3</v>
      </c>
      <c r="G365">
        <v>2237</v>
      </c>
      <c r="H365">
        <v>0.13</v>
      </c>
    </row>
    <row r="366" spans="1:8">
      <c r="A366" t="s">
        <v>1255</v>
      </c>
      <c r="B366" t="s">
        <v>913</v>
      </c>
      <c r="C366">
        <v>6505.4299999999903</v>
      </c>
      <c r="D366">
        <v>1577629.1</v>
      </c>
      <c r="E366">
        <v>0.41</v>
      </c>
      <c r="F366">
        <v>20</v>
      </c>
      <c r="G366">
        <v>13110</v>
      </c>
      <c r="H366">
        <v>0.15</v>
      </c>
    </row>
    <row r="367" spans="1:8">
      <c r="A367" t="s">
        <v>1255</v>
      </c>
      <c r="B367" t="s">
        <v>1064</v>
      </c>
      <c r="C367">
        <v>2053.7799999999902</v>
      </c>
      <c r="D367">
        <v>508609.12999999902</v>
      </c>
      <c r="E367">
        <v>0.4</v>
      </c>
      <c r="F367">
        <v>6</v>
      </c>
      <c r="G367">
        <v>3766</v>
      </c>
      <c r="H367">
        <v>0.16</v>
      </c>
    </row>
    <row r="368" spans="1:8">
      <c r="A368" t="s">
        <v>1255</v>
      </c>
      <c r="B368" t="s">
        <v>1179</v>
      </c>
      <c r="C368">
        <v>959.99</v>
      </c>
      <c r="D368">
        <v>261821.53999999899</v>
      </c>
      <c r="E368">
        <v>0.37</v>
      </c>
      <c r="F368">
        <v>2</v>
      </c>
      <c r="G368">
        <v>1796</v>
      </c>
      <c r="H368">
        <v>0.11</v>
      </c>
    </row>
    <row r="369" spans="1:8">
      <c r="A369" t="s">
        <v>1256</v>
      </c>
      <c r="B369" t="s">
        <v>1128</v>
      </c>
      <c r="C369">
        <v>3768.9</v>
      </c>
      <c r="D369">
        <v>226813.40999999901</v>
      </c>
      <c r="E369">
        <v>1.66</v>
      </c>
      <c r="F369">
        <v>46</v>
      </c>
      <c r="G369">
        <v>1472</v>
      </c>
      <c r="H369">
        <v>3.13</v>
      </c>
    </row>
    <row r="370" spans="1:8">
      <c r="A370" t="s">
        <v>1256</v>
      </c>
      <c r="B370" t="s">
        <v>1208</v>
      </c>
      <c r="C370">
        <v>2875.88</v>
      </c>
      <c r="D370">
        <v>175925.19</v>
      </c>
      <c r="E370">
        <v>1.63</v>
      </c>
      <c r="F370">
        <v>28</v>
      </c>
      <c r="G370">
        <v>1067</v>
      </c>
      <c r="H370">
        <v>2.62</v>
      </c>
    </row>
    <row r="371" spans="1:8">
      <c r="A371" t="s">
        <v>1256</v>
      </c>
      <c r="B371" t="s">
        <v>920</v>
      </c>
      <c r="C371">
        <v>10951.809999999899</v>
      </c>
      <c r="D371">
        <v>683400.24999999895</v>
      </c>
      <c r="E371">
        <v>1.6</v>
      </c>
      <c r="F371">
        <v>181</v>
      </c>
      <c r="G371">
        <v>5736</v>
      </c>
      <c r="H371">
        <v>3.16</v>
      </c>
    </row>
    <row r="372" spans="1:8">
      <c r="A372" t="s">
        <v>1256</v>
      </c>
      <c r="B372" t="s">
        <v>959</v>
      </c>
      <c r="C372">
        <v>25614.709999999901</v>
      </c>
      <c r="D372">
        <v>1803168.25</v>
      </c>
      <c r="E372">
        <v>1.42</v>
      </c>
      <c r="F372">
        <v>433</v>
      </c>
      <c r="G372">
        <v>14468</v>
      </c>
      <c r="H372">
        <v>2.99</v>
      </c>
    </row>
    <row r="373" spans="1:8">
      <c r="A373" t="s">
        <v>1256</v>
      </c>
      <c r="B373" t="s">
        <v>948</v>
      </c>
      <c r="C373">
        <v>3697.24</v>
      </c>
      <c r="D373">
        <v>263711.51999999897</v>
      </c>
      <c r="E373">
        <v>1.4</v>
      </c>
      <c r="F373">
        <v>78</v>
      </c>
      <c r="G373">
        <v>2237</v>
      </c>
      <c r="H373">
        <v>3.49</v>
      </c>
    </row>
    <row r="374" spans="1:8">
      <c r="A374" t="s">
        <v>1256</v>
      </c>
      <c r="B374" t="s">
        <v>913</v>
      </c>
      <c r="C374">
        <v>20531.4899999999</v>
      </c>
      <c r="D374">
        <v>1577629.1</v>
      </c>
      <c r="E374">
        <v>1.3</v>
      </c>
      <c r="F374">
        <v>294</v>
      </c>
      <c r="G374">
        <v>13110</v>
      </c>
      <c r="H374">
        <v>2.2400000000000002</v>
      </c>
    </row>
    <row r="375" spans="1:8">
      <c r="A375" t="s">
        <v>1256</v>
      </c>
      <c r="B375" t="s">
        <v>1064</v>
      </c>
      <c r="C375">
        <v>6252.13</v>
      </c>
      <c r="D375">
        <v>508609.12999999902</v>
      </c>
      <c r="E375">
        <v>1.23</v>
      </c>
      <c r="F375">
        <v>108</v>
      </c>
      <c r="G375">
        <v>3766</v>
      </c>
      <c r="H375">
        <v>2.87</v>
      </c>
    </row>
    <row r="376" spans="1:8">
      <c r="A376" t="s">
        <v>1256</v>
      </c>
      <c r="B376" t="s">
        <v>930</v>
      </c>
      <c r="C376">
        <v>5762.37</v>
      </c>
      <c r="D376">
        <v>514179.52999999898</v>
      </c>
      <c r="E376">
        <v>1.1200000000000001</v>
      </c>
      <c r="F376">
        <v>123</v>
      </c>
      <c r="G376">
        <v>4156</v>
      </c>
      <c r="H376">
        <v>2.96</v>
      </c>
    </row>
    <row r="377" spans="1:8">
      <c r="A377" t="s">
        <v>1256</v>
      </c>
      <c r="B377" t="s">
        <v>925</v>
      </c>
      <c r="C377">
        <v>8303.81</v>
      </c>
      <c r="D377">
        <v>751552.01999999897</v>
      </c>
      <c r="E377">
        <v>1.1000000000000001</v>
      </c>
      <c r="F377">
        <v>164</v>
      </c>
      <c r="G377">
        <v>6265</v>
      </c>
      <c r="H377">
        <v>2.62</v>
      </c>
    </row>
    <row r="378" spans="1:8">
      <c r="A378" t="s">
        <v>1256</v>
      </c>
      <c r="B378" t="s">
        <v>908</v>
      </c>
      <c r="C378">
        <v>52948.4399999999</v>
      </c>
      <c r="D378">
        <v>5195744.47999998</v>
      </c>
      <c r="E378">
        <v>1.02</v>
      </c>
      <c r="F378">
        <v>1000</v>
      </c>
      <c r="G378">
        <v>47399</v>
      </c>
      <c r="H378">
        <v>2.11</v>
      </c>
    </row>
    <row r="379" spans="1:8">
      <c r="A379" t="s">
        <v>1256</v>
      </c>
      <c r="B379" t="s">
        <v>1045</v>
      </c>
      <c r="C379">
        <v>2458.03999999999</v>
      </c>
      <c r="D379">
        <v>303593.40000000002</v>
      </c>
      <c r="E379">
        <v>0.81</v>
      </c>
      <c r="F379">
        <v>51</v>
      </c>
      <c r="G379">
        <v>2416</v>
      </c>
      <c r="H379">
        <v>2.11</v>
      </c>
    </row>
    <row r="380" spans="1:8">
      <c r="A380" t="s">
        <v>1256</v>
      </c>
      <c r="B380" t="s">
        <v>1179</v>
      </c>
      <c r="C380">
        <v>1938.06</v>
      </c>
      <c r="D380">
        <v>261821.53999999899</v>
      </c>
      <c r="E380">
        <v>0.74</v>
      </c>
      <c r="F380">
        <v>39</v>
      </c>
      <c r="G380">
        <v>1796</v>
      </c>
      <c r="H380">
        <v>2.17</v>
      </c>
    </row>
    <row r="381" spans="1:8">
      <c r="A381" t="s">
        <v>1256</v>
      </c>
      <c r="B381" t="s">
        <v>1027</v>
      </c>
      <c r="C381">
        <v>985.66</v>
      </c>
      <c r="D381">
        <v>155690.51</v>
      </c>
      <c r="E381">
        <v>0.63</v>
      </c>
      <c r="F381">
        <v>26</v>
      </c>
      <c r="G381">
        <v>1047</v>
      </c>
      <c r="H381">
        <v>2.48</v>
      </c>
    </row>
    <row r="382" spans="1:8">
      <c r="A382" t="s">
        <v>1256</v>
      </c>
      <c r="B382" t="s">
        <v>1040</v>
      </c>
      <c r="C382">
        <v>854.75</v>
      </c>
      <c r="D382">
        <v>293729.82999999903</v>
      </c>
      <c r="E382">
        <v>0.28999999999999998</v>
      </c>
      <c r="F382">
        <v>33</v>
      </c>
      <c r="G382">
        <v>2316</v>
      </c>
      <c r="H382">
        <v>1.42</v>
      </c>
    </row>
    <row r="383" spans="1:8">
      <c r="A383" t="s">
        <v>1257</v>
      </c>
      <c r="B383" t="s">
        <v>1045</v>
      </c>
      <c r="C383">
        <v>11936.13</v>
      </c>
      <c r="D383">
        <v>303593.40000000002</v>
      </c>
      <c r="E383">
        <v>3.93</v>
      </c>
      <c r="F383">
        <v>24</v>
      </c>
      <c r="G383">
        <v>2416</v>
      </c>
      <c r="H383">
        <v>0.99</v>
      </c>
    </row>
    <row r="384" spans="1:8">
      <c r="A384" t="s">
        <v>1257</v>
      </c>
      <c r="B384" t="s">
        <v>1027</v>
      </c>
      <c r="C384">
        <v>3502.9</v>
      </c>
      <c r="D384">
        <v>155690.51</v>
      </c>
      <c r="E384">
        <v>2.25</v>
      </c>
      <c r="F384">
        <v>8</v>
      </c>
      <c r="G384">
        <v>1047</v>
      </c>
      <c r="H384">
        <v>0.76</v>
      </c>
    </row>
    <row r="385" spans="1:8">
      <c r="A385" t="s">
        <v>1257</v>
      </c>
      <c r="B385" t="s">
        <v>1128</v>
      </c>
      <c r="C385">
        <v>5043.29</v>
      </c>
      <c r="D385">
        <v>226813.40999999901</v>
      </c>
      <c r="E385">
        <v>2.2200000000000002</v>
      </c>
      <c r="F385">
        <v>8</v>
      </c>
      <c r="G385">
        <v>1472</v>
      </c>
      <c r="H385">
        <v>0.54</v>
      </c>
    </row>
    <row r="386" spans="1:8">
      <c r="A386" t="s">
        <v>1257</v>
      </c>
      <c r="B386" t="s">
        <v>925</v>
      </c>
      <c r="C386">
        <v>15317.699999999901</v>
      </c>
      <c r="D386">
        <v>751552.01999999897</v>
      </c>
      <c r="E386">
        <v>2.04</v>
      </c>
      <c r="F386">
        <v>45</v>
      </c>
      <c r="G386">
        <v>6265</v>
      </c>
      <c r="H386">
        <v>0.72</v>
      </c>
    </row>
    <row r="387" spans="1:8">
      <c r="A387" t="s">
        <v>1257</v>
      </c>
      <c r="B387" t="s">
        <v>1208</v>
      </c>
      <c r="C387">
        <v>3366.25</v>
      </c>
      <c r="D387">
        <v>175925.19</v>
      </c>
      <c r="E387">
        <v>1.91</v>
      </c>
      <c r="F387">
        <v>9</v>
      </c>
      <c r="G387">
        <v>1067</v>
      </c>
      <c r="H387">
        <v>0.84</v>
      </c>
    </row>
    <row r="388" spans="1:8">
      <c r="A388" t="s">
        <v>1257</v>
      </c>
      <c r="B388" t="s">
        <v>930</v>
      </c>
      <c r="C388">
        <v>8521.0400000000009</v>
      </c>
      <c r="D388">
        <v>514179.52999999898</v>
      </c>
      <c r="E388">
        <v>1.66</v>
      </c>
      <c r="F388">
        <v>27</v>
      </c>
      <c r="G388">
        <v>4156</v>
      </c>
      <c r="H388">
        <v>0.65</v>
      </c>
    </row>
    <row r="389" spans="1:8">
      <c r="A389" t="s">
        <v>1257</v>
      </c>
      <c r="B389" t="s">
        <v>920</v>
      </c>
      <c r="C389">
        <v>11217.34</v>
      </c>
      <c r="D389">
        <v>683400.24999999895</v>
      </c>
      <c r="E389">
        <v>1.64</v>
      </c>
      <c r="F389">
        <v>42</v>
      </c>
      <c r="G389">
        <v>5736</v>
      </c>
      <c r="H389">
        <v>0.73</v>
      </c>
    </row>
    <row r="390" spans="1:8">
      <c r="A390" t="s">
        <v>1257</v>
      </c>
      <c r="B390" t="s">
        <v>959</v>
      </c>
      <c r="C390">
        <v>28708.3999999999</v>
      </c>
      <c r="D390">
        <v>1803168.25</v>
      </c>
      <c r="E390">
        <v>1.59</v>
      </c>
      <c r="F390">
        <v>87</v>
      </c>
      <c r="G390">
        <v>14468</v>
      </c>
      <c r="H390">
        <v>0.6</v>
      </c>
    </row>
    <row r="391" spans="1:8">
      <c r="A391" t="s">
        <v>1257</v>
      </c>
      <c r="B391" t="s">
        <v>908</v>
      </c>
      <c r="C391">
        <v>72000.509999999995</v>
      </c>
      <c r="D391">
        <v>5195744.47999998</v>
      </c>
      <c r="E391">
        <v>1.39</v>
      </c>
      <c r="F391">
        <v>306</v>
      </c>
      <c r="G391">
        <v>47399</v>
      </c>
      <c r="H391">
        <v>0.65</v>
      </c>
    </row>
    <row r="392" spans="1:8">
      <c r="A392" t="s">
        <v>1257</v>
      </c>
      <c r="B392" t="s">
        <v>913</v>
      </c>
      <c r="C392">
        <v>17442.089999999898</v>
      </c>
      <c r="D392">
        <v>1577629.1</v>
      </c>
      <c r="E392">
        <v>1.1100000000000001</v>
      </c>
      <c r="F392">
        <v>65</v>
      </c>
      <c r="G392">
        <v>13110</v>
      </c>
      <c r="H392">
        <v>0.5</v>
      </c>
    </row>
    <row r="393" spans="1:8">
      <c r="A393" t="s">
        <v>1257</v>
      </c>
      <c r="B393" t="s">
        <v>1040</v>
      </c>
      <c r="C393">
        <v>2679.88</v>
      </c>
      <c r="D393">
        <v>293729.82999999903</v>
      </c>
      <c r="E393">
        <v>0.91</v>
      </c>
      <c r="F393">
        <v>11</v>
      </c>
      <c r="G393">
        <v>2316</v>
      </c>
      <c r="H393">
        <v>0.47</v>
      </c>
    </row>
    <row r="394" spans="1:8">
      <c r="A394" t="s">
        <v>1257</v>
      </c>
      <c r="B394" t="s">
        <v>1064</v>
      </c>
      <c r="C394">
        <v>3871.96</v>
      </c>
      <c r="D394">
        <v>508609.12999999902</v>
      </c>
      <c r="E394">
        <v>0.76</v>
      </c>
      <c r="F394">
        <v>18</v>
      </c>
      <c r="G394">
        <v>3766</v>
      </c>
      <c r="H394">
        <v>0.48</v>
      </c>
    </row>
    <row r="395" spans="1:8">
      <c r="A395" t="s">
        <v>1257</v>
      </c>
      <c r="B395" t="s">
        <v>1179</v>
      </c>
      <c r="C395">
        <v>781.89</v>
      </c>
      <c r="D395">
        <v>261821.53999999899</v>
      </c>
      <c r="E395">
        <v>0.3</v>
      </c>
      <c r="F395">
        <v>3</v>
      </c>
      <c r="G395">
        <v>1796</v>
      </c>
      <c r="H395">
        <v>0.17</v>
      </c>
    </row>
    <row r="396" spans="1:8">
      <c r="A396" t="s">
        <v>1257</v>
      </c>
      <c r="B396" t="s">
        <v>948</v>
      </c>
      <c r="C396">
        <v>668.75</v>
      </c>
      <c r="D396">
        <v>263711.51999999897</v>
      </c>
      <c r="E396">
        <v>0.25</v>
      </c>
      <c r="F396">
        <v>3</v>
      </c>
      <c r="G396">
        <v>2237</v>
      </c>
      <c r="H396">
        <v>0.13</v>
      </c>
    </row>
    <row r="397" spans="1:8">
      <c r="A397" t="s">
        <v>1258</v>
      </c>
      <c r="B397" t="s">
        <v>920</v>
      </c>
      <c r="C397">
        <v>58513.71</v>
      </c>
      <c r="D397">
        <v>683400.24999999895</v>
      </c>
      <c r="E397">
        <v>8.56</v>
      </c>
      <c r="F397">
        <v>485</v>
      </c>
      <c r="G397">
        <v>5736</v>
      </c>
      <c r="H397">
        <v>8.4600000000000009</v>
      </c>
    </row>
    <row r="398" spans="1:8">
      <c r="A398" t="s">
        <v>1258</v>
      </c>
      <c r="B398" t="s">
        <v>930</v>
      </c>
      <c r="C398">
        <v>43946.909999999902</v>
      </c>
      <c r="D398">
        <v>514179.52999999898</v>
      </c>
      <c r="E398">
        <v>8.5500000000000007</v>
      </c>
      <c r="F398">
        <v>360</v>
      </c>
      <c r="G398">
        <v>4156</v>
      </c>
      <c r="H398">
        <v>8.66</v>
      </c>
    </row>
    <row r="399" spans="1:8">
      <c r="A399" t="s">
        <v>1258</v>
      </c>
      <c r="B399" t="s">
        <v>1179</v>
      </c>
      <c r="C399">
        <v>20215.119999999901</v>
      </c>
      <c r="D399">
        <v>261821.53999999899</v>
      </c>
      <c r="E399">
        <v>7.72</v>
      </c>
      <c r="F399">
        <v>147</v>
      </c>
      <c r="G399">
        <v>1796</v>
      </c>
      <c r="H399">
        <v>8.18</v>
      </c>
    </row>
    <row r="400" spans="1:8">
      <c r="A400" t="s">
        <v>1258</v>
      </c>
      <c r="B400" t="s">
        <v>1064</v>
      </c>
      <c r="C400">
        <v>38843.0799999999</v>
      </c>
      <c r="D400">
        <v>508609.12999999902</v>
      </c>
      <c r="E400">
        <v>7.64</v>
      </c>
      <c r="F400">
        <v>293</v>
      </c>
      <c r="G400">
        <v>3766</v>
      </c>
      <c r="H400">
        <v>7.78</v>
      </c>
    </row>
    <row r="401" spans="1:8">
      <c r="A401" t="s">
        <v>1258</v>
      </c>
      <c r="B401" t="s">
        <v>1045</v>
      </c>
      <c r="C401">
        <v>23101.1499999999</v>
      </c>
      <c r="D401">
        <v>303593.40000000002</v>
      </c>
      <c r="E401">
        <v>7.61</v>
      </c>
      <c r="F401">
        <v>226</v>
      </c>
      <c r="G401">
        <v>2416</v>
      </c>
      <c r="H401">
        <v>9.35</v>
      </c>
    </row>
    <row r="402" spans="1:8">
      <c r="A402" t="s">
        <v>1258</v>
      </c>
      <c r="B402" t="s">
        <v>948</v>
      </c>
      <c r="C402">
        <v>19814.1899999999</v>
      </c>
      <c r="D402">
        <v>263711.51999999897</v>
      </c>
      <c r="E402">
        <v>7.51</v>
      </c>
      <c r="F402">
        <v>173</v>
      </c>
      <c r="G402">
        <v>2237</v>
      </c>
      <c r="H402">
        <v>7.73</v>
      </c>
    </row>
    <row r="403" spans="1:8">
      <c r="A403" t="s">
        <v>1258</v>
      </c>
      <c r="B403" t="s">
        <v>908</v>
      </c>
      <c r="C403">
        <v>385714.27999999799</v>
      </c>
      <c r="D403">
        <v>5195744.47999998</v>
      </c>
      <c r="E403">
        <v>7.42</v>
      </c>
      <c r="F403">
        <v>3666</v>
      </c>
      <c r="G403">
        <v>47399</v>
      </c>
      <c r="H403">
        <v>7.73</v>
      </c>
    </row>
    <row r="404" spans="1:8">
      <c r="A404" t="s">
        <v>1258</v>
      </c>
      <c r="B404" t="s">
        <v>925</v>
      </c>
      <c r="C404">
        <v>54278.459999999897</v>
      </c>
      <c r="D404">
        <v>751552.01999999897</v>
      </c>
      <c r="E404">
        <v>7.22</v>
      </c>
      <c r="F404">
        <v>483</v>
      </c>
      <c r="G404">
        <v>6265</v>
      </c>
      <c r="H404">
        <v>7.71</v>
      </c>
    </row>
    <row r="405" spans="1:8">
      <c r="A405" t="s">
        <v>1258</v>
      </c>
      <c r="B405" t="s">
        <v>913</v>
      </c>
      <c r="C405">
        <v>112760.43</v>
      </c>
      <c r="D405">
        <v>1577629.1</v>
      </c>
      <c r="E405">
        <v>7.15</v>
      </c>
      <c r="F405">
        <v>968</v>
      </c>
      <c r="G405">
        <v>13110</v>
      </c>
      <c r="H405">
        <v>7.38</v>
      </c>
    </row>
    <row r="406" spans="1:8">
      <c r="A406" t="s">
        <v>1258</v>
      </c>
      <c r="B406" t="s">
        <v>1208</v>
      </c>
      <c r="C406">
        <v>12293.449999999901</v>
      </c>
      <c r="D406">
        <v>175925.19</v>
      </c>
      <c r="E406">
        <v>6.99</v>
      </c>
      <c r="F406">
        <v>83</v>
      </c>
      <c r="G406">
        <v>1067</v>
      </c>
      <c r="H406">
        <v>7.78</v>
      </c>
    </row>
    <row r="407" spans="1:8">
      <c r="A407" t="s">
        <v>1258</v>
      </c>
      <c r="B407" t="s">
        <v>959</v>
      </c>
      <c r="C407">
        <v>124625.72</v>
      </c>
      <c r="D407">
        <v>1803168.25</v>
      </c>
      <c r="E407">
        <v>6.91</v>
      </c>
      <c r="F407">
        <v>1039</v>
      </c>
      <c r="G407">
        <v>14468</v>
      </c>
      <c r="H407">
        <v>7.18</v>
      </c>
    </row>
    <row r="408" spans="1:8">
      <c r="A408" t="s">
        <v>1258</v>
      </c>
      <c r="B408" t="s">
        <v>1040</v>
      </c>
      <c r="C408">
        <v>19516.059999999899</v>
      </c>
      <c r="D408">
        <v>293729.82999999903</v>
      </c>
      <c r="E408">
        <v>6.64</v>
      </c>
      <c r="F408">
        <v>166</v>
      </c>
      <c r="G408">
        <v>2316</v>
      </c>
      <c r="H408">
        <v>7.17</v>
      </c>
    </row>
    <row r="409" spans="1:8">
      <c r="A409" t="s">
        <v>1258</v>
      </c>
      <c r="B409" t="s">
        <v>1027</v>
      </c>
      <c r="C409">
        <v>9642.92</v>
      </c>
      <c r="D409">
        <v>155690.51</v>
      </c>
      <c r="E409">
        <v>6.19</v>
      </c>
      <c r="F409">
        <v>77</v>
      </c>
      <c r="G409">
        <v>1047</v>
      </c>
      <c r="H409">
        <v>7.35</v>
      </c>
    </row>
    <row r="410" spans="1:8">
      <c r="A410" t="s">
        <v>1258</v>
      </c>
      <c r="B410" t="s">
        <v>1128</v>
      </c>
      <c r="C410">
        <v>10468.459999999999</v>
      </c>
      <c r="D410">
        <v>226813.40999999901</v>
      </c>
      <c r="E410">
        <v>4.62</v>
      </c>
      <c r="F410">
        <v>92</v>
      </c>
      <c r="G410">
        <v>1472</v>
      </c>
      <c r="H410">
        <v>6.25</v>
      </c>
    </row>
    <row r="411" spans="1:8">
      <c r="A411" t="s">
        <v>1259</v>
      </c>
      <c r="B411" t="s">
        <v>913</v>
      </c>
      <c r="C411">
        <v>23201.8999999999</v>
      </c>
      <c r="D411">
        <v>1577629.1</v>
      </c>
      <c r="E411">
        <v>1.47</v>
      </c>
      <c r="F411">
        <v>266</v>
      </c>
      <c r="G411">
        <v>13110</v>
      </c>
      <c r="H411">
        <v>2.0299999999999998</v>
      </c>
    </row>
    <row r="412" spans="1:8">
      <c r="A412" t="s">
        <v>1259</v>
      </c>
      <c r="B412" t="s">
        <v>1064</v>
      </c>
      <c r="C412">
        <v>6880.49</v>
      </c>
      <c r="D412">
        <v>508609.12999999902</v>
      </c>
      <c r="E412">
        <v>1.35</v>
      </c>
      <c r="F412">
        <v>80</v>
      </c>
      <c r="G412">
        <v>3766</v>
      </c>
      <c r="H412">
        <v>2.12</v>
      </c>
    </row>
    <row r="413" spans="1:8">
      <c r="A413" t="s">
        <v>1259</v>
      </c>
      <c r="B413" t="s">
        <v>948</v>
      </c>
      <c r="C413">
        <v>3569.94</v>
      </c>
      <c r="D413">
        <v>263711.51999999897</v>
      </c>
      <c r="E413">
        <v>1.35</v>
      </c>
      <c r="F413">
        <v>50</v>
      </c>
      <c r="G413">
        <v>2237</v>
      </c>
      <c r="H413">
        <v>2.2400000000000002</v>
      </c>
    </row>
    <row r="414" spans="1:8">
      <c r="A414" t="s">
        <v>1259</v>
      </c>
      <c r="B414" t="s">
        <v>1045</v>
      </c>
      <c r="C414">
        <v>3730.08</v>
      </c>
      <c r="D414">
        <v>303593.40000000002</v>
      </c>
      <c r="E414">
        <v>1.23</v>
      </c>
      <c r="F414">
        <v>46</v>
      </c>
      <c r="G414">
        <v>2416</v>
      </c>
      <c r="H414">
        <v>1.9</v>
      </c>
    </row>
    <row r="415" spans="1:8">
      <c r="A415" t="s">
        <v>1259</v>
      </c>
      <c r="B415" t="s">
        <v>930</v>
      </c>
      <c r="C415">
        <v>6235.96</v>
      </c>
      <c r="D415">
        <v>514179.52999999898</v>
      </c>
      <c r="E415">
        <v>1.21</v>
      </c>
      <c r="F415">
        <v>79</v>
      </c>
      <c r="G415">
        <v>4156</v>
      </c>
      <c r="H415">
        <v>1.9</v>
      </c>
    </row>
    <row r="416" spans="1:8">
      <c r="A416" t="s">
        <v>1259</v>
      </c>
      <c r="B416" t="s">
        <v>1128</v>
      </c>
      <c r="C416">
        <v>2667.73</v>
      </c>
      <c r="D416">
        <v>226813.40999999901</v>
      </c>
      <c r="E416">
        <v>1.18</v>
      </c>
      <c r="F416">
        <v>30</v>
      </c>
      <c r="G416">
        <v>1472</v>
      </c>
      <c r="H416">
        <v>2.04</v>
      </c>
    </row>
    <row r="417" spans="1:8">
      <c r="A417" t="s">
        <v>1259</v>
      </c>
      <c r="B417" t="s">
        <v>1208</v>
      </c>
      <c r="C417">
        <v>2067.5500000000002</v>
      </c>
      <c r="D417">
        <v>175925.19</v>
      </c>
      <c r="E417">
        <v>1.18</v>
      </c>
      <c r="F417">
        <v>30</v>
      </c>
      <c r="G417">
        <v>1067</v>
      </c>
      <c r="H417">
        <v>2.81</v>
      </c>
    </row>
    <row r="418" spans="1:8">
      <c r="A418" t="s">
        <v>1259</v>
      </c>
      <c r="B418" t="s">
        <v>920</v>
      </c>
      <c r="C418">
        <v>7894.38</v>
      </c>
      <c r="D418">
        <v>683400.24999999895</v>
      </c>
      <c r="E418">
        <v>1.1599999999999999</v>
      </c>
      <c r="F418">
        <v>117</v>
      </c>
      <c r="G418">
        <v>5736</v>
      </c>
      <c r="H418">
        <v>2.04</v>
      </c>
    </row>
    <row r="419" spans="1:8">
      <c r="A419" t="s">
        <v>1259</v>
      </c>
      <c r="B419" t="s">
        <v>925</v>
      </c>
      <c r="C419">
        <v>8326.3700000000008</v>
      </c>
      <c r="D419">
        <v>751552.01999999897</v>
      </c>
      <c r="E419">
        <v>1.1100000000000001</v>
      </c>
      <c r="F419">
        <v>82</v>
      </c>
      <c r="G419">
        <v>6265</v>
      </c>
      <c r="H419">
        <v>1.31</v>
      </c>
    </row>
    <row r="420" spans="1:8">
      <c r="A420" t="s">
        <v>1259</v>
      </c>
      <c r="B420" t="s">
        <v>908</v>
      </c>
      <c r="C420">
        <v>57338.489999999903</v>
      </c>
      <c r="D420">
        <v>5195744.47999998</v>
      </c>
      <c r="E420">
        <v>1.1000000000000001</v>
      </c>
      <c r="F420">
        <v>862</v>
      </c>
      <c r="G420">
        <v>47399</v>
      </c>
      <c r="H420">
        <v>1.82</v>
      </c>
    </row>
    <row r="421" spans="1:8">
      <c r="A421" t="s">
        <v>1259</v>
      </c>
      <c r="B421" t="s">
        <v>1040</v>
      </c>
      <c r="C421">
        <v>3160.6899999999901</v>
      </c>
      <c r="D421">
        <v>293729.82999999903</v>
      </c>
      <c r="E421">
        <v>1.08</v>
      </c>
      <c r="F421">
        <v>45</v>
      </c>
      <c r="G421">
        <v>2316</v>
      </c>
      <c r="H421">
        <v>1.94</v>
      </c>
    </row>
    <row r="422" spans="1:8">
      <c r="A422" t="s">
        <v>1259</v>
      </c>
      <c r="B422" t="s">
        <v>1179</v>
      </c>
      <c r="C422">
        <v>2506.7199999999998</v>
      </c>
      <c r="D422">
        <v>261821.53999999899</v>
      </c>
      <c r="E422">
        <v>0.96</v>
      </c>
      <c r="F422">
        <v>40</v>
      </c>
      <c r="G422">
        <v>1796</v>
      </c>
      <c r="H422">
        <v>2.23</v>
      </c>
    </row>
    <row r="423" spans="1:8">
      <c r="A423" t="s">
        <v>1259</v>
      </c>
      <c r="B423" t="s">
        <v>959</v>
      </c>
      <c r="C423">
        <v>16221.799999999899</v>
      </c>
      <c r="D423">
        <v>1803168.25</v>
      </c>
      <c r="E423">
        <v>0.9</v>
      </c>
      <c r="F423">
        <v>199</v>
      </c>
      <c r="G423">
        <v>14468</v>
      </c>
      <c r="H423">
        <v>1.38</v>
      </c>
    </row>
    <row r="424" spans="1:8">
      <c r="A424" t="s">
        <v>1259</v>
      </c>
      <c r="B424" t="s">
        <v>1027</v>
      </c>
      <c r="C424">
        <v>665.36999999999898</v>
      </c>
      <c r="D424">
        <v>155690.51</v>
      </c>
      <c r="E424">
        <v>0.43</v>
      </c>
      <c r="F424">
        <v>14</v>
      </c>
      <c r="G424">
        <v>1047</v>
      </c>
      <c r="H424">
        <v>1.34</v>
      </c>
    </row>
    <row r="425" spans="1:8">
      <c r="A425" t="s">
        <v>1260</v>
      </c>
      <c r="B425" t="s">
        <v>1179</v>
      </c>
      <c r="C425">
        <v>1221.42</v>
      </c>
      <c r="D425">
        <v>261821.53999999899</v>
      </c>
      <c r="E425">
        <v>0.47</v>
      </c>
      <c r="F425">
        <v>11</v>
      </c>
      <c r="G425">
        <v>1796</v>
      </c>
      <c r="H425">
        <v>0.61</v>
      </c>
    </row>
    <row r="426" spans="1:8">
      <c r="A426" t="s">
        <v>1260</v>
      </c>
      <c r="B426" t="s">
        <v>1040</v>
      </c>
      <c r="C426">
        <v>1022.3</v>
      </c>
      <c r="D426">
        <v>293729.82999999903</v>
      </c>
      <c r="E426">
        <v>0.35</v>
      </c>
      <c r="F426">
        <v>7</v>
      </c>
      <c r="G426">
        <v>2316</v>
      </c>
      <c r="H426">
        <v>0.3</v>
      </c>
    </row>
    <row r="427" spans="1:8">
      <c r="A427" t="s">
        <v>1260</v>
      </c>
      <c r="B427" t="s">
        <v>1027</v>
      </c>
      <c r="C427">
        <v>478.5</v>
      </c>
      <c r="D427">
        <v>155690.51</v>
      </c>
      <c r="E427">
        <v>0.31</v>
      </c>
      <c r="F427">
        <v>3</v>
      </c>
      <c r="G427">
        <v>1047</v>
      </c>
      <c r="H427">
        <v>0.28999999999999998</v>
      </c>
    </row>
    <row r="428" spans="1:8">
      <c r="A428" t="s">
        <v>1260</v>
      </c>
      <c r="B428" t="s">
        <v>1045</v>
      </c>
      <c r="C428">
        <v>944.58999999999901</v>
      </c>
      <c r="D428">
        <v>303593.40000000002</v>
      </c>
      <c r="E428">
        <v>0.31</v>
      </c>
      <c r="F428">
        <v>7</v>
      </c>
      <c r="G428">
        <v>2416</v>
      </c>
      <c r="H428">
        <v>0.28999999999999998</v>
      </c>
    </row>
    <row r="429" spans="1:8">
      <c r="A429" t="s">
        <v>1260</v>
      </c>
      <c r="B429" t="s">
        <v>1208</v>
      </c>
      <c r="C429">
        <v>542.4</v>
      </c>
      <c r="D429">
        <v>175925.19</v>
      </c>
      <c r="E429">
        <v>0.31</v>
      </c>
      <c r="F429">
        <v>4</v>
      </c>
      <c r="G429">
        <v>1067</v>
      </c>
      <c r="H429">
        <v>0.37</v>
      </c>
    </row>
    <row r="430" spans="1:8">
      <c r="A430" t="s">
        <v>1260</v>
      </c>
      <c r="B430" t="s">
        <v>948</v>
      </c>
      <c r="C430">
        <v>780.3</v>
      </c>
      <c r="D430">
        <v>263711.51999999897</v>
      </c>
      <c r="E430">
        <v>0.3</v>
      </c>
      <c r="F430">
        <v>5</v>
      </c>
      <c r="G430">
        <v>2237</v>
      </c>
      <c r="H430">
        <v>0.22</v>
      </c>
    </row>
    <row r="431" spans="1:8">
      <c r="A431" t="s">
        <v>1260</v>
      </c>
      <c r="B431" t="s">
        <v>913</v>
      </c>
      <c r="C431">
        <v>3194.48</v>
      </c>
      <c r="D431">
        <v>1577629.1</v>
      </c>
      <c r="E431">
        <v>0.2</v>
      </c>
      <c r="F431">
        <v>43</v>
      </c>
      <c r="G431">
        <v>13110</v>
      </c>
      <c r="H431">
        <v>0.33</v>
      </c>
    </row>
    <row r="432" spans="1:8">
      <c r="A432" t="s">
        <v>1260</v>
      </c>
      <c r="B432" t="s">
        <v>1064</v>
      </c>
      <c r="C432">
        <v>851.5</v>
      </c>
      <c r="D432">
        <v>508609.12999999902</v>
      </c>
      <c r="E432">
        <v>0.17</v>
      </c>
      <c r="F432">
        <v>7</v>
      </c>
      <c r="G432">
        <v>3766</v>
      </c>
      <c r="H432">
        <v>0.19</v>
      </c>
    </row>
    <row r="433" spans="1:8">
      <c r="A433" t="s">
        <v>1260</v>
      </c>
      <c r="B433" t="s">
        <v>930</v>
      </c>
      <c r="C433">
        <v>750.1</v>
      </c>
      <c r="D433">
        <v>514179.52999999898</v>
      </c>
      <c r="E433">
        <v>0.15</v>
      </c>
      <c r="F433">
        <v>7</v>
      </c>
      <c r="G433">
        <v>4156</v>
      </c>
      <c r="H433">
        <v>0.17</v>
      </c>
    </row>
    <row r="434" spans="1:8">
      <c r="A434" t="s">
        <v>1260</v>
      </c>
      <c r="B434" t="s">
        <v>959</v>
      </c>
      <c r="C434">
        <v>2351.21</v>
      </c>
      <c r="D434">
        <v>1803168.25</v>
      </c>
      <c r="E434">
        <v>0.13</v>
      </c>
      <c r="F434">
        <v>28</v>
      </c>
      <c r="G434">
        <v>14468</v>
      </c>
      <c r="H434">
        <v>0.19</v>
      </c>
    </row>
    <row r="435" spans="1:8">
      <c r="A435" t="s">
        <v>1260</v>
      </c>
      <c r="B435" t="s">
        <v>908</v>
      </c>
      <c r="C435">
        <v>7013.4</v>
      </c>
      <c r="D435">
        <v>5195744.47999998</v>
      </c>
      <c r="E435">
        <v>0.13</v>
      </c>
      <c r="F435">
        <v>93</v>
      </c>
      <c r="G435">
        <v>47399</v>
      </c>
      <c r="H435">
        <v>0.2</v>
      </c>
    </row>
    <row r="436" spans="1:8">
      <c r="A436" t="s">
        <v>1260</v>
      </c>
      <c r="B436" t="s">
        <v>920</v>
      </c>
      <c r="C436">
        <v>897.219999999999</v>
      </c>
      <c r="D436">
        <v>683400.24999999895</v>
      </c>
      <c r="E436">
        <v>0.13</v>
      </c>
      <c r="F436">
        <v>16</v>
      </c>
      <c r="G436">
        <v>5736</v>
      </c>
      <c r="H436">
        <v>0.28000000000000003</v>
      </c>
    </row>
    <row r="437" spans="1:8">
      <c r="A437" t="s">
        <v>1260</v>
      </c>
      <c r="B437" t="s">
        <v>1128</v>
      </c>
      <c r="C437">
        <v>249.7</v>
      </c>
      <c r="D437">
        <v>226813.40999999901</v>
      </c>
      <c r="E437">
        <v>0.11</v>
      </c>
      <c r="F437">
        <v>3</v>
      </c>
      <c r="G437">
        <v>1472</v>
      </c>
      <c r="H437">
        <v>0.2</v>
      </c>
    </row>
    <row r="438" spans="1:8">
      <c r="A438" t="s">
        <v>1260</v>
      </c>
      <c r="B438" t="s">
        <v>925</v>
      </c>
      <c r="C438">
        <v>742.8</v>
      </c>
      <c r="D438">
        <v>751552.01999999897</v>
      </c>
      <c r="E438">
        <v>0.1</v>
      </c>
      <c r="F438">
        <v>10</v>
      </c>
      <c r="G438">
        <v>6265</v>
      </c>
      <c r="H438">
        <v>0.16</v>
      </c>
    </row>
    <row r="439" spans="1:8">
      <c r="A439" t="s">
        <v>1261</v>
      </c>
      <c r="B439" t="s">
        <v>1208</v>
      </c>
      <c r="C439">
        <v>159.6</v>
      </c>
      <c r="D439">
        <v>175925.19</v>
      </c>
      <c r="E439">
        <v>0.09</v>
      </c>
      <c r="F439">
        <v>4</v>
      </c>
      <c r="G439">
        <v>1067</v>
      </c>
      <c r="H439">
        <v>0.37</v>
      </c>
    </row>
    <row r="440" spans="1:8">
      <c r="A440" t="s">
        <v>1261</v>
      </c>
      <c r="B440" t="s">
        <v>930</v>
      </c>
      <c r="C440">
        <v>169.75</v>
      </c>
      <c r="D440">
        <v>514179.52999999898</v>
      </c>
      <c r="E440">
        <v>0.03</v>
      </c>
      <c r="F440">
        <v>3</v>
      </c>
      <c r="G440">
        <v>4156</v>
      </c>
      <c r="H440">
        <v>7.0000000000000007E-2</v>
      </c>
    </row>
    <row r="441" spans="1:8">
      <c r="A441" t="s">
        <v>1261</v>
      </c>
      <c r="B441" t="s">
        <v>1045</v>
      </c>
      <c r="C441">
        <v>49.98</v>
      </c>
      <c r="D441">
        <v>303593.40000000002</v>
      </c>
      <c r="E441">
        <v>0.02</v>
      </c>
      <c r="F441">
        <v>2</v>
      </c>
      <c r="G441">
        <v>2416</v>
      </c>
      <c r="H441">
        <v>0.08</v>
      </c>
    </row>
    <row r="442" spans="1:8">
      <c r="A442" t="s">
        <v>1261</v>
      </c>
      <c r="B442" t="s">
        <v>908</v>
      </c>
      <c r="C442">
        <v>939.8</v>
      </c>
      <c r="D442">
        <v>5195744.47999998</v>
      </c>
      <c r="E442">
        <v>0.02</v>
      </c>
      <c r="F442">
        <v>12</v>
      </c>
      <c r="G442">
        <v>47399</v>
      </c>
      <c r="H442">
        <v>0.03</v>
      </c>
    </row>
    <row r="443" spans="1:8">
      <c r="A443" t="s">
        <v>1261</v>
      </c>
      <c r="B443" t="s">
        <v>1064</v>
      </c>
      <c r="C443">
        <v>124.88999999999901</v>
      </c>
      <c r="D443">
        <v>508609.12999999902</v>
      </c>
      <c r="E443">
        <v>0.02</v>
      </c>
      <c r="F443">
        <v>2</v>
      </c>
      <c r="G443">
        <v>3766</v>
      </c>
      <c r="H443">
        <v>0.05</v>
      </c>
    </row>
    <row r="444" spans="1:8">
      <c r="A444" t="s">
        <v>1261</v>
      </c>
      <c r="B444" t="s">
        <v>913</v>
      </c>
      <c r="C444">
        <v>264.89999999999998</v>
      </c>
      <c r="D444">
        <v>1577629.1</v>
      </c>
      <c r="E444">
        <v>0.02</v>
      </c>
      <c r="F444">
        <v>2</v>
      </c>
      <c r="G444">
        <v>13110</v>
      </c>
      <c r="H444">
        <v>0.02</v>
      </c>
    </row>
    <row r="445" spans="1:8">
      <c r="A445" t="s">
        <v>1261</v>
      </c>
      <c r="B445" t="s">
        <v>925</v>
      </c>
      <c r="C445">
        <v>49.98</v>
      </c>
      <c r="D445">
        <v>751552.01999999897</v>
      </c>
      <c r="E445">
        <v>0.01</v>
      </c>
      <c r="F445">
        <v>2</v>
      </c>
      <c r="G445">
        <v>6265</v>
      </c>
      <c r="H445">
        <v>0.03</v>
      </c>
    </row>
    <row r="446" spans="1:8">
      <c r="A446" t="s">
        <v>1261</v>
      </c>
      <c r="B446" t="s">
        <v>959</v>
      </c>
      <c r="C446">
        <v>129.80000000000001</v>
      </c>
      <c r="D446">
        <v>1803168.25</v>
      </c>
      <c r="E446">
        <v>0.01</v>
      </c>
      <c r="F446">
        <v>2</v>
      </c>
      <c r="G446">
        <v>14468</v>
      </c>
      <c r="H446">
        <v>0.01</v>
      </c>
    </row>
    <row r="447" spans="1:8">
      <c r="A447" t="s">
        <v>1261</v>
      </c>
      <c r="B447" t="s">
        <v>920</v>
      </c>
      <c r="C447">
        <v>49.9</v>
      </c>
      <c r="D447">
        <v>683400.24999999895</v>
      </c>
      <c r="E447">
        <v>0.01</v>
      </c>
      <c r="F447">
        <v>1</v>
      </c>
      <c r="G447">
        <v>5736</v>
      </c>
      <c r="H447">
        <v>0.02</v>
      </c>
    </row>
    <row r="448" spans="1:8">
      <c r="A448" t="s">
        <v>1262</v>
      </c>
      <c r="B448" t="s">
        <v>1040</v>
      </c>
      <c r="C448">
        <v>204.8</v>
      </c>
      <c r="D448">
        <v>293729.82999999903</v>
      </c>
      <c r="E448">
        <v>7.0000000000000007E-2</v>
      </c>
      <c r="F448">
        <v>2</v>
      </c>
      <c r="G448">
        <v>2316</v>
      </c>
      <c r="H448">
        <v>0.09</v>
      </c>
    </row>
    <row r="449" spans="1:8">
      <c r="A449" t="s">
        <v>1262</v>
      </c>
      <c r="B449" t="s">
        <v>1045</v>
      </c>
      <c r="C449">
        <v>129.9</v>
      </c>
      <c r="D449">
        <v>303593.40000000002</v>
      </c>
      <c r="E449">
        <v>0.04</v>
      </c>
      <c r="F449">
        <v>1</v>
      </c>
      <c r="G449">
        <v>2416</v>
      </c>
      <c r="H449">
        <v>0.04</v>
      </c>
    </row>
    <row r="450" spans="1:8">
      <c r="A450" t="s">
        <v>1262</v>
      </c>
      <c r="B450" t="s">
        <v>948</v>
      </c>
      <c r="C450">
        <v>115</v>
      </c>
      <c r="D450">
        <v>263711.51999999897</v>
      </c>
      <c r="E450">
        <v>0.04</v>
      </c>
      <c r="F450">
        <v>1</v>
      </c>
      <c r="G450">
        <v>2237</v>
      </c>
      <c r="H450">
        <v>0.04</v>
      </c>
    </row>
    <row r="451" spans="1:8">
      <c r="A451" t="s">
        <v>1262</v>
      </c>
      <c r="B451" t="s">
        <v>913</v>
      </c>
      <c r="C451">
        <v>475.67999999999898</v>
      </c>
      <c r="D451">
        <v>1577629.1</v>
      </c>
      <c r="E451">
        <v>0.03</v>
      </c>
      <c r="F451">
        <v>7</v>
      </c>
      <c r="G451">
        <v>13110</v>
      </c>
      <c r="H451">
        <v>0.05</v>
      </c>
    </row>
    <row r="452" spans="1:8">
      <c r="A452" t="s">
        <v>1262</v>
      </c>
      <c r="B452" t="s">
        <v>908</v>
      </c>
      <c r="C452">
        <v>1534.77</v>
      </c>
      <c r="D452">
        <v>5195744.47999998</v>
      </c>
      <c r="E452">
        <v>0.03</v>
      </c>
      <c r="F452">
        <v>30</v>
      </c>
      <c r="G452">
        <v>47399</v>
      </c>
      <c r="H452">
        <v>0.06</v>
      </c>
    </row>
    <row r="453" spans="1:8">
      <c r="A453" t="s">
        <v>1262</v>
      </c>
      <c r="B453" t="s">
        <v>1027</v>
      </c>
      <c r="C453">
        <v>34.99</v>
      </c>
      <c r="D453">
        <v>155690.51</v>
      </c>
      <c r="E453">
        <v>0.02</v>
      </c>
      <c r="F453">
        <v>1</v>
      </c>
      <c r="G453">
        <v>1047</v>
      </c>
      <c r="H453">
        <v>0.1</v>
      </c>
    </row>
    <row r="454" spans="1:8">
      <c r="A454" t="s">
        <v>1262</v>
      </c>
      <c r="B454" t="s">
        <v>920</v>
      </c>
      <c r="C454">
        <v>89.9</v>
      </c>
      <c r="D454">
        <v>683400.24999999895</v>
      </c>
      <c r="E454">
        <v>0.01</v>
      </c>
      <c r="F454">
        <v>2</v>
      </c>
      <c r="G454">
        <v>5736</v>
      </c>
      <c r="H454">
        <v>0.03</v>
      </c>
    </row>
    <row r="455" spans="1:8">
      <c r="A455" t="s">
        <v>1262</v>
      </c>
      <c r="B455" t="s">
        <v>959</v>
      </c>
      <c r="C455">
        <v>109.8</v>
      </c>
      <c r="D455">
        <v>1803168.25</v>
      </c>
      <c r="E455">
        <v>0.01</v>
      </c>
      <c r="F455">
        <v>2</v>
      </c>
      <c r="G455">
        <v>14468</v>
      </c>
      <c r="H455">
        <v>0.01</v>
      </c>
    </row>
    <row r="456" spans="1:8">
      <c r="A456" t="s">
        <v>1262</v>
      </c>
      <c r="B456" t="s">
        <v>1064</v>
      </c>
      <c r="C456">
        <v>64.900000000000006</v>
      </c>
      <c r="D456">
        <v>508609.12999999902</v>
      </c>
      <c r="E456">
        <v>0.01</v>
      </c>
      <c r="F456">
        <v>1</v>
      </c>
      <c r="G456">
        <v>3766</v>
      </c>
      <c r="H456">
        <v>0.03</v>
      </c>
    </row>
    <row r="457" spans="1:8">
      <c r="A457" t="s">
        <v>1262</v>
      </c>
      <c r="B457" t="s">
        <v>930</v>
      </c>
      <c r="C457">
        <v>19.899999999999999</v>
      </c>
      <c r="D457">
        <v>514179.52999999898</v>
      </c>
      <c r="E457">
        <v>0</v>
      </c>
      <c r="F457">
        <v>1</v>
      </c>
      <c r="G457">
        <v>4156</v>
      </c>
      <c r="H457">
        <v>0.02</v>
      </c>
    </row>
    <row r="458" spans="1:8">
      <c r="A458" t="s">
        <v>1263</v>
      </c>
      <c r="B458" t="s">
        <v>930</v>
      </c>
      <c r="C458">
        <v>89.89</v>
      </c>
      <c r="D458">
        <v>514179.52999999898</v>
      </c>
      <c r="E458">
        <v>0.02</v>
      </c>
      <c r="F458">
        <v>2</v>
      </c>
      <c r="G458">
        <v>4156</v>
      </c>
      <c r="H458">
        <v>0.05</v>
      </c>
    </row>
    <row r="459" spans="1:8">
      <c r="A459" t="s">
        <v>1263</v>
      </c>
      <c r="B459" t="s">
        <v>1064</v>
      </c>
      <c r="C459">
        <v>89.99</v>
      </c>
      <c r="D459">
        <v>508609.12999999902</v>
      </c>
      <c r="E459">
        <v>0.02</v>
      </c>
      <c r="F459">
        <v>1</v>
      </c>
      <c r="G459">
        <v>3766</v>
      </c>
      <c r="H459">
        <v>0.03</v>
      </c>
    </row>
    <row r="460" spans="1:8">
      <c r="A460" t="s">
        <v>1263</v>
      </c>
      <c r="B460" t="s">
        <v>959</v>
      </c>
      <c r="C460">
        <v>110</v>
      </c>
      <c r="D460">
        <v>1803168.25</v>
      </c>
      <c r="E460">
        <v>0.01</v>
      </c>
      <c r="F460">
        <v>1</v>
      </c>
      <c r="G460">
        <v>14468</v>
      </c>
      <c r="H460">
        <v>0.01</v>
      </c>
    </row>
    <row r="461" spans="1:8">
      <c r="A461" t="s">
        <v>1263</v>
      </c>
      <c r="B461" t="s">
        <v>908</v>
      </c>
      <c r="C461">
        <v>279.97000000000003</v>
      </c>
      <c r="D461">
        <v>5195744.47999998</v>
      </c>
      <c r="E461">
        <v>0.01</v>
      </c>
      <c r="F461">
        <v>4</v>
      </c>
      <c r="G461">
        <v>47399</v>
      </c>
      <c r="H461">
        <v>0.01</v>
      </c>
    </row>
    <row r="462" spans="1:8">
      <c r="A462" t="s">
        <v>1264</v>
      </c>
      <c r="B462" t="s">
        <v>1064</v>
      </c>
      <c r="C462">
        <v>960.8</v>
      </c>
      <c r="D462">
        <v>508609.12999999902</v>
      </c>
      <c r="E462">
        <v>0.19</v>
      </c>
      <c r="F462">
        <v>9</v>
      </c>
      <c r="G462">
        <v>3766</v>
      </c>
      <c r="H462">
        <v>0.24</v>
      </c>
    </row>
    <row r="463" spans="1:8">
      <c r="A463" t="s">
        <v>1264</v>
      </c>
      <c r="B463" t="s">
        <v>920</v>
      </c>
      <c r="C463">
        <v>1061.28</v>
      </c>
      <c r="D463">
        <v>683400.24999999895</v>
      </c>
      <c r="E463">
        <v>0.16</v>
      </c>
      <c r="F463">
        <v>12</v>
      </c>
      <c r="G463">
        <v>5736</v>
      </c>
      <c r="H463">
        <v>0.21</v>
      </c>
    </row>
    <row r="464" spans="1:8">
      <c r="A464" t="s">
        <v>1264</v>
      </c>
      <c r="B464" t="s">
        <v>1208</v>
      </c>
      <c r="C464">
        <v>256.89</v>
      </c>
      <c r="D464">
        <v>175925.19</v>
      </c>
      <c r="E464">
        <v>0.15</v>
      </c>
      <c r="F464">
        <v>2</v>
      </c>
      <c r="G464">
        <v>1067</v>
      </c>
      <c r="H464">
        <v>0.19</v>
      </c>
    </row>
    <row r="465" spans="1:8">
      <c r="A465" t="s">
        <v>1264</v>
      </c>
      <c r="B465" t="s">
        <v>1040</v>
      </c>
      <c r="C465">
        <v>308.60000000000002</v>
      </c>
      <c r="D465">
        <v>293729.82999999903</v>
      </c>
      <c r="E465">
        <v>0.11</v>
      </c>
      <c r="F465">
        <v>3</v>
      </c>
      <c r="G465">
        <v>2316</v>
      </c>
      <c r="H465">
        <v>0.13</v>
      </c>
    </row>
    <row r="466" spans="1:8">
      <c r="A466" t="s">
        <v>1264</v>
      </c>
      <c r="B466" t="s">
        <v>913</v>
      </c>
      <c r="C466">
        <v>1536.72999999999</v>
      </c>
      <c r="D466">
        <v>1577629.1</v>
      </c>
      <c r="E466">
        <v>0.1</v>
      </c>
      <c r="F466">
        <v>20</v>
      </c>
      <c r="G466">
        <v>13110</v>
      </c>
      <c r="H466">
        <v>0.15</v>
      </c>
    </row>
    <row r="467" spans="1:8">
      <c r="A467" t="s">
        <v>1264</v>
      </c>
      <c r="B467" t="s">
        <v>948</v>
      </c>
      <c r="C467">
        <v>250.8</v>
      </c>
      <c r="D467">
        <v>263711.51999999897</v>
      </c>
      <c r="E467">
        <v>0.1</v>
      </c>
      <c r="F467">
        <v>2</v>
      </c>
      <c r="G467">
        <v>2237</v>
      </c>
      <c r="H467">
        <v>0.09</v>
      </c>
    </row>
    <row r="468" spans="1:8">
      <c r="A468" t="s">
        <v>1264</v>
      </c>
      <c r="B468" t="s">
        <v>1027</v>
      </c>
      <c r="C468">
        <v>147.5</v>
      </c>
      <c r="D468">
        <v>155690.51</v>
      </c>
      <c r="E468">
        <v>0.09</v>
      </c>
      <c r="F468">
        <v>1</v>
      </c>
      <c r="G468">
        <v>1047</v>
      </c>
      <c r="H468">
        <v>0.1</v>
      </c>
    </row>
    <row r="469" spans="1:8">
      <c r="A469" t="s">
        <v>1264</v>
      </c>
      <c r="B469" t="s">
        <v>925</v>
      </c>
      <c r="C469">
        <v>638.79</v>
      </c>
      <c r="D469">
        <v>751552.01999999897</v>
      </c>
      <c r="E469">
        <v>0.08</v>
      </c>
      <c r="F469">
        <v>9</v>
      </c>
      <c r="G469">
        <v>6265</v>
      </c>
      <c r="H469">
        <v>0.14000000000000001</v>
      </c>
    </row>
    <row r="470" spans="1:8">
      <c r="A470" t="s">
        <v>1264</v>
      </c>
      <c r="B470" t="s">
        <v>908</v>
      </c>
      <c r="C470">
        <v>4294.28</v>
      </c>
      <c r="D470">
        <v>5195744.47999998</v>
      </c>
      <c r="E470">
        <v>0.08</v>
      </c>
      <c r="F470">
        <v>57</v>
      </c>
      <c r="G470">
        <v>47399</v>
      </c>
      <c r="H470">
        <v>0.12</v>
      </c>
    </row>
    <row r="471" spans="1:8">
      <c r="A471" t="s">
        <v>1264</v>
      </c>
      <c r="B471" t="s">
        <v>959</v>
      </c>
      <c r="C471">
        <v>967.37</v>
      </c>
      <c r="D471">
        <v>1803168.25</v>
      </c>
      <c r="E471">
        <v>0.05</v>
      </c>
      <c r="F471">
        <v>12</v>
      </c>
      <c r="G471">
        <v>14468</v>
      </c>
      <c r="H471">
        <v>0.08</v>
      </c>
    </row>
    <row r="472" spans="1:8">
      <c r="A472" t="s">
        <v>1264</v>
      </c>
      <c r="B472" t="s">
        <v>930</v>
      </c>
      <c r="C472">
        <v>89.89</v>
      </c>
      <c r="D472">
        <v>514179.52999999898</v>
      </c>
      <c r="E472">
        <v>0.02</v>
      </c>
      <c r="F472">
        <v>2</v>
      </c>
      <c r="G472">
        <v>4156</v>
      </c>
      <c r="H472">
        <v>0.05</v>
      </c>
    </row>
    <row r="473" spans="1:8">
      <c r="A473" t="s">
        <v>1264</v>
      </c>
      <c r="B473" t="s">
        <v>1128</v>
      </c>
      <c r="C473">
        <v>29.99</v>
      </c>
      <c r="D473">
        <v>226813.40999999901</v>
      </c>
      <c r="E473">
        <v>0.01</v>
      </c>
      <c r="F473">
        <v>1</v>
      </c>
      <c r="G473">
        <v>1472</v>
      </c>
      <c r="H473">
        <v>7.0000000000000007E-2</v>
      </c>
    </row>
    <row r="474" spans="1:8">
      <c r="A474" t="s">
        <v>1265</v>
      </c>
      <c r="B474" t="s">
        <v>1040</v>
      </c>
      <c r="C474">
        <v>457.7</v>
      </c>
      <c r="D474">
        <v>293729.82999999903</v>
      </c>
      <c r="E474">
        <v>0.16</v>
      </c>
      <c r="F474">
        <v>5</v>
      </c>
      <c r="G474">
        <v>2316</v>
      </c>
      <c r="H474">
        <v>0.22</v>
      </c>
    </row>
    <row r="475" spans="1:8">
      <c r="A475" t="s">
        <v>1265</v>
      </c>
      <c r="B475" t="s">
        <v>1064</v>
      </c>
      <c r="C475">
        <v>638.70000000000005</v>
      </c>
      <c r="D475">
        <v>508609.12999999902</v>
      </c>
      <c r="E475">
        <v>0.13</v>
      </c>
      <c r="F475">
        <v>6</v>
      </c>
      <c r="G475">
        <v>3766</v>
      </c>
      <c r="H475">
        <v>0.16</v>
      </c>
    </row>
    <row r="476" spans="1:8">
      <c r="A476" t="s">
        <v>1265</v>
      </c>
      <c r="B476" t="s">
        <v>1208</v>
      </c>
      <c r="C476">
        <v>181.7</v>
      </c>
      <c r="D476">
        <v>175925.19</v>
      </c>
      <c r="E476">
        <v>0.1</v>
      </c>
      <c r="F476">
        <v>3</v>
      </c>
      <c r="G476">
        <v>1067</v>
      </c>
      <c r="H476">
        <v>0.28000000000000003</v>
      </c>
    </row>
    <row r="477" spans="1:8">
      <c r="A477" t="s">
        <v>1265</v>
      </c>
      <c r="B477" t="s">
        <v>1179</v>
      </c>
      <c r="C477">
        <v>201.9</v>
      </c>
      <c r="D477">
        <v>261821.53999999899</v>
      </c>
      <c r="E477">
        <v>0.08</v>
      </c>
      <c r="F477">
        <v>2</v>
      </c>
      <c r="G477">
        <v>1796</v>
      </c>
      <c r="H477">
        <v>0.11</v>
      </c>
    </row>
    <row r="478" spans="1:8">
      <c r="A478" t="s">
        <v>1265</v>
      </c>
      <c r="B478" t="s">
        <v>959</v>
      </c>
      <c r="C478">
        <v>1359.46999999999</v>
      </c>
      <c r="D478">
        <v>1803168.25</v>
      </c>
      <c r="E478">
        <v>0.08</v>
      </c>
      <c r="F478">
        <v>17</v>
      </c>
      <c r="G478">
        <v>14468</v>
      </c>
      <c r="H478">
        <v>0.12</v>
      </c>
    </row>
    <row r="479" spans="1:8">
      <c r="A479" t="s">
        <v>1265</v>
      </c>
      <c r="B479" t="s">
        <v>930</v>
      </c>
      <c r="C479">
        <v>367.2</v>
      </c>
      <c r="D479">
        <v>514179.52999999898</v>
      </c>
      <c r="E479">
        <v>7.0000000000000007E-2</v>
      </c>
      <c r="F479">
        <v>8</v>
      </c>
      <c r="G479">
        <v>4156</v>
      </c>
      <c r="H479">
        <v>0.19</v>
      </c>
    </row>
    <row r="480" spans="1:8">
      <c r="A480" t="s">
        <v>1265</v>
      </c>
      <c r="B480" t="s">
        <v>908</v>
      </c>
      <c r="C480">
        <v>3670.75</v>
      </c>
      <c r="D480">
        <v>5195744.47999998</v>
      </c>
      <c r="E480">
        <v>7.0000000000000007E-2</v>
      </c>
      <c r="F480">
        <v>55</v>
      </c>
      <c r="G480">
        <v>47399</v>
      </c>
      <c r="H480">
        <v>0.12</v>
      </c>
    </row>
    <row r="481" spans="1:8">
      <c r="A481" t="s">
        <v>1265</v>
      </c>
      <c r="B481" t="s">
        <v>913</v>
      </c>
      <c r="C481">
        <v>1020.9</v>
      </c>
      <c r="D481">
        <v>1577629.1</v>
      </c>
      <c r="E481">
        <v>0.06</v>
      </c>
      <c r="F481">
        <v>17</v>
      </c>
      <c r="G481">
        <v>13110</v>
      </c>
      <c r="H481">
        <v>0.13</v>
      </c>
    </row>
    <row r="482" spans="1:8">
      <c r="A482" t="s">
        <v>1265</v>
      </c>
      <c r="B482" t="s">
        <v>925</v>
      </c>
      <c r="C482">
        <v>397.8</v>
      </c>
      <c r="D482">
        <v>751552.01999999897</v>
      </c>
      <c r="E482">
        <v>0.05</v>
      </c>
      <c r="F482">
        <v>3</v>
      </c>
      <c r="G482">
        <v>6265</v>
      </c>
      <c r="H482">
        <v>0.05</v>
      </c>
    </row>
    <row r="483" spans="1:8">
      <c r="A483" t="s">
        <v>1265</v>
      </c>
      <c r="B483" t="s">
        <v>1027</v>
      </c>
      <c r="C483">
        <v>79.900000000000006</v>
      </c>
      <c r="D483">
        <v>155690.51</v>
      </c>
      <c r="E483">
        <v>0.05</v>
      </c>
      <c r="F483">
        <v>1</v>
      </c>
      <c r="G483">
        <v>1047</v>
      </c>
      <c r="H483">
        <v>0.1</v>
      </c>
    </row>
    <row r="484" spans="1:8">
      <c r="A484" t="s">
        <v>1265</v>
      </c>
      <c r="B484" t="s">
        <v>1045</v>
      </c>
      <c r="C484">
        <v>146.15</v>
      </c>
      <c r="D484">
        <v>303593.40000000002</v>
      </c>
      <c r="E484">
        <v>0.05</v>
      </c>
      <c r="F484">
        <v>2</v>
      </c>
      <c r="G484">
        <v>2416</v>
      </c>
      <c r="H484">
        <v>0.08</v>
      </c>
    </row>
    <row r="485" spans="1:8">
      <c r="A485" t="s">
        <v>1265</v>
      </c>
      <c r="B485" t="s">
        <v>920</v>
      </c>
      <c r="C485">
        <v>265.58</v>
      </c>
      <c r="D485">
        <v>683400.24999999895</v>
      </c>
      <c r="E485">
        <v>0.04</v>
      </c>
      <c r="F485">
        <v>6</v>
      </c>
      <c r="G485">
        <v>5736</v>
      </c>
      <c r="H485">
        <v>0.1</v>
      </c>
    </row>
    <row r="486" spans="1:8">
      <c r="A486" t="s">
        <v>1265</v>
      </c>
      <c r="B486" t="s">
        <v>948</v>
      </c>
      <c r="C486">
        <v>110</v>
      </c>
      <c r="D486">
        <v>263711.51999999897</v>
      </c>
      <c r="E486">
        <v>0.04</v>
      </c>
      <c r="F486">
        <v>1</v>
      </c>
      <c r="G486">
        <v>2237</v>
      </c>
      <c r="H486">
        <v>0.04</v>
      </c>
    </row>
    <row r="487" spans="1:8">
      <c r="A487" t="s">
        <v>1266</v>
      </c>
      <c r="B487" t="s">
        <v>1027</v>
      </c>
      <c r="C487">
        <v>8850.1299999999992</v>
      </c>
      <c r="D487">
        <v>155690.51</v>
      </c>
      <c r="E487">
        <v>5.68</v>
      </c>
      <c r="F487">
        <v>53</v>
      </c>
      <c r="G487">
        <v>1047</v>
      </c>
      <c r="H487">
        <v>5.0599999999999996</v>
      </c>
    </row>
    <row r="488" spans="1:8">
      <c r="A488" t="s">
        <v>1266</v>
      </c>
      <c r="B488" t="s">
        <v>1040</v>
      </c>
      <c r="C488">
        <v>15579.469999999899</v>
      </c>
      <c r="D488">
        <v>293729.82999999903</v>
      </c>
      <c r="E488">
        <v>5.3</v>
      </c>
      <c r="F488">
        <v>118</v>
      </c>
      <c r="G488">
        <v>2316</v>
      </c>
      <c r="H488">
        <v>5.09</v>
      </c>
    </row>
    <row r="489" spans="1:8">
      <c r="A489" t="s">
        <v>1266</v>
      </c>
      <c r="B489" t="s">
        <v>925</v>
      </c>
      <c r="C489">
        <v>36710.599999999897</v>
      </c>
      <c r="D489">
        <v>751552.01999999897</v>
      </c>
      <c r="E489">
        <v>4.88</v>
      </c>
      <c r="F489">
        <v>291</v>
      </c>
      <c r="G489">
        <v>6265</v>
      </c>
      <c r="H489">
        <v>4.6399999999999997</v>
      </c>
    </row>
    <row r="490" spans="1:8">
      <c r="A490" t="s">
        <v>1266</v>
      </c>
      <c r="B490" t="s">
        <v>1064</v>
      </c>
      <c r="C490">
        <v>23816.809999999899</v>
      </c>
      <c r="D490">
        <v>508609.12999999902</v>
      </c>
      <c r="E490">
        <v>4.68</v>
      </c>
      <c r="F490">
        <v>174</v>
      </c>
      <c r="G490">
        <v>3766</v>
      </c>
      <c r="H490">
        <v>4.62</v>
      </c>
    </row>
    <row r="491" spans="1:8">
      <c r="A491" t="s">
        <v>1266</v>
      </c>
      <c r="B491" t="s">
        <v>930</v>
      </c>
      <c r="C491">
        <v>23779.339999999898</v>
      </c>
      <c r="D491">
        <v>514179.52999999898</v>
      </c>
      <c r="E491">
        <v>4.62</v>
      </c>
      <c r="F491">
        <v>183</v>
      </c>
      <c r="G491">
        <v>4156</v>
      </c>
      <c r="H491">
        <v>4.4000000000000004</v>
      </c>
    </row>
    <row r="492" spans="1:8">
      <c r="A492" t="s">
        <v>1266</v>
      </c>
      <c r="B492" t="s">
        <v>959</v>
      </c>
      <c r="C492">
        <v>73802.400000000096</v>
      </c>
      <c r="D492">
        <v>1803168.25</v>
      </c>
      <c r="E492">
        <v>4.09</v>
      </c>
      <c r="F492">
        <v>659</v>
      </c>
      <c r="G492">
        <v>14468</v>
      </c>
      <c r="H492">
        <v>4.55</v>
      </c>
    </row>
    <row r="493" spans="1:8">
      <c r="A493" t="s">
        <v>1266</v>
      </c>
      <c r="B493" t="s">
        <v>948</v>
      </c>
      <c r="C493">
        <v>10687.43</v>
      </c>
      <c r="D493">
        <v>263711.51999999897</v>
      </c>
      <c r="E493">
        <v>4.05</v>
      </c>
      <c r="F493">
        <v>104</v>
      </c>
      <c r="G493">
        <v>2237</v>
      </c>
      <c r="H493">
        <v>4.6500000000000004</v>
      </c>
    </row>
    <row r="494" spans="1:8">
      <c r="A494" t="s">
        <v>1266</v>
      </c>
      <c r="B494" t="s">
        <v>913</v>
      </c>
      <c r="C494">
        <v>60132.47</v>
      </c>
      <c r="D494">
        <v>1577629.1</v>
      </c>
      <c r="E494">
        <v>3.81</v>
      </c>
      <c r="F494">
        <v>604</v>
      </c>
      <c r="G494">
        <v>13110</v>
      </c>
      <c r="H494">
        <v>4.6100000000000003</v>
      </c>
    </row>
    <row r="495" spans="1:8">
      <c r="A495" t="s">
        <v>1266</v>
      </c>
      <c r="B495" t="s">
        <v>1208</v>
      </c>
      <c r="C495">
        <v>5556.7199999999903</v>
      </c>
      <c r="D495">
        <v>175925.19</v>
      </c>
      <c r="E495">
        <v>3.16</v>
      </c>
      <c r="F495">
        <v>34</v>
      </c>
      <c r="G495">
        <v>1067</v>
      </c>
      <c r="H495">
        <v>3.19</v>
      </c>
    </row>
    <row r="496" spans="1:8">
      <c r="A496" t="s">
        <v>1266</v>
      </c>
      <c r="B496" t="s">
        <v>1045</v>
      </c>
      <c r="C496">
        <v>9197.1799999999894</v>
      </c>
      <c r="D496">
        <v>303593.40000000002</v>
      </c>
      <c r="E496">
        <v>3.03</v>
      </c>
      <c r="F496">
        <v>56</v>
      </c>
      <c r="G496">
        <v>2416</v>
      </c>
      <c r="H496">
        <v>2.3199999999999998</v>
      </c>
    </row>
    <row r="497" spans="1:8">
      <c r="A497" t="s">
        <v>1266</v>
      </c>
      <c r="B497" t="s">
        <v>920</v>
      </c>
      <c r="C497">
        <v>20681.029999999901</v>
      </c>
      <c r="D497">
        <v>683400.24999999895</v>
      </c>
      <c r="E497">
        <v>3.03</v>
      </c>
      <c r="F497">
        <v>209</v>
      </c>
      <c r="G497">
        <v>5736</v>
      </c>
      <c r="H497">
        <v>3.64</v>
      </c>
    </row>
    <row r="498" spans="1:8">
      <c r="A498" t="s">
        <v>1266</v>
      </c>
      <c r="B498" t="s">
        <v>908</v>
      </c>
      <c r="C498">
        <v>151361.35</v>
      </c>
      <c r="D498">
        <v>5195744.47999998</v>
      </c>
      <c r="E498">
        <v>2.91</v>
      </c>
      <c r="F498">
        <v>1553</v>
      </c>
      <c r="G498">
        <v>47399</v>
      </c>
      <c r="H498">
        <v>3.28</v>
      </c>
    </row>
    <row r="499" spans="1:8">
      <c r="A499" t="s">
        <v>1266</v>
      </c>
      <c r="B499" t="s">
        <v>1179</v>
      </c>
      <c r="C499">
        <v>7213.53</v>
      </c>
      <c r="D499">
        <v>261821.53999999899</v>
      </c>
      <c r="E499">
        <v>2.76</v>
      </c>
      <c r="F499">
        <v>65</v>
      </c>
      <c r="G499">
        <v>1796</v>
      </c>
      <c r="H499">
        <v>3.62</v>
      </c>
    </row>
    <row r="500" spans="1:8">
      <c r="A500" t="s">
        <v>1266</v>
      </c>
      <c r="B500" t="s">
        <v>1128</v>
      </c>
      <c r="C500">
        <v>6135.84</v>
      </c>
      <c r="D500">
        <v>226813.40999999901</v>
      </c>
      <c r="E500">
        <v>2.71</v>
      </c>
      <c r="F500">
        <v>56</v>
      </c>
      <c r="G500">
        <v>1472</v>
      </c>
      <c r="H500">
        <v>3.8</v>
      </c>
    </row>
    <row r="501" spans="1:8">
      <c r="A501" t="s">
        <v>1267</v>
      </c>
      <c r="B501" t="s">
        <v>948</v>
      </c>
      <c r="C501">
        <v>77.89</v>
      </c>
      <c r="D501">
        <v>263711.51999999897</v>
      </c>
      <c r="E501">
        <v>0.03</v>
      </c>
      <c r="F501">
        <v>2</v>
      </c>
      <c r="G501">
        <v>2237</v>
      </c>
      <c r="H501">
        <v>0.09</v>
      </c>
    </row>
    <row r="502" spans="1:8">
      <c r="A502" t="s">
        <v>1267</v>
      </c>
      <c r="B502" t="s">
        <v>1040</v>
      </c>
      <c r="C502">
        <v>24.99</v>
      </c>
      <c r="D502">
        <v>293729.82999999903</v>
      </c>
      <c r="E502">
        <v>0.01</v>
      </c>
      <c r="F502">
        <v>1</v>
      </c>
      <c r="G502">
        <v>2316</v>
      </c>
      <c r="H502">
        <v>0.04</v>
      </c>
    </row>
    <row r="503" spans="1:8">
      <c r="A503" t="s">
        <v>1267</v>
      </c>
      <c r="B503" t="s">
        <v>925</v>
      </c>
      <c r="C503">
        <v>75.599999999999994</v>
      </c>
      <c r="D503">
        <v>751552.01999999897</v>
      </c>
      <c r="E503">
        <v>0.01</v>
      </c>
      <c r="F503">
        <v>3</v>
      </c>
      <c r="G503">
        <v>6265</v>
      </c>
      <c r="H503">
        <v>0.05</v>
      </c>
    </row>
    <row r="504" spans="1:8">
      <c r="A504" t="s">
        <v>1267</v>
      </c>
      <c r="B504" t="s">
        <v>959</v>
      </c>
      <c r="C504">
        <v>255.6</v>
      </c>
      <c r="D504">
        <v>1803168.25</v>
      </c>
      <c r="E504">
        <v>0.01</v>
      </c>
      <c r="F504">
        <v>8</v>
      </c>
      <c r="G504">
        <v>14468</v>
      </c>
      <c r="H504">
        <v>0.06</v>
      </c>
    </row>
    <row r="505" spans="1:8">
      <c r="A505" t="s">
        <v>1267</v>
      </c>
      <c r="B505" t="s">
        <v>913</v>
      </c>
      <c r="C505">
        <v>96.29</v>
      </c>
      <c r="D505">
        <v>1577629.1</v>
      </c>
      <c r="E505">
        <v>0.01</v>
      </c>
      <c r="F505">
        <v>5</v>
      </c>
      <c r="G505">
        <v>13110</v>
      </c>
      <c r="H505">
        <v>0.04</v>
      </c>
    </row>
    <row r="506" spans="1:8">
      <c r="A506" t="s">
        <v>1267</v>
      </c>
      <c r="B506" t="s">
        <v>908</v>
      </c>
      <c r="C506">
        <v>438.66999999999899</v>
      </c>
      <c r="D506">
        <v>5195744.47999998</v>
      </c>
      <c r="E506">
        <v>0.01</v>
      </c>
      <c r="F506">
        <v>11</v>
      </c>
      <c r="G506">
        <v>47399</v>
      </c>
      <c r="H506">
        <v>0.02</v>
      </c>
    </row>
    <row r="507" spans="1:8">
      <c r="A507" t="s">
        <v>1268</v>
      </c>
      <c r="B507" t="s">
        <v>1128</v>
      </c>
      <c r="C507">
        <v>60</v>
      </c>
      <c r="D507">
        <v>226813.40999999901</v>
      </c>
      <c r="E507">
        <v>0.03</v>
      </c>
      <c r="F507">
        <v>1</v>
      </c>
      <c r="G507">
        <v>1472</v>
      </c>
      <c r="H507">
        <v>7.0000000000000007E-2</v>
      </c>
    </row>
    <row r="508" spans="1:8">
      <c r="A508" t="s">
        <v>1268</v>
      </c>
      <c r="B508" t="s">
        <v>908</v>
      </c>
      <c r="C508">
        <v>1087.69</v>
      </c>
      <c r="D508">
        <v>5195744.47999998</v>
      </c>
      <c r="E508">
        <v>0.02</v>
      </c>
      <c r="F508">
        <v>31</v>
      </c>
      <c r="G508">
        <v>47399</v>
      </c>
      <c r="H508">
        <v>7.0000000000000007E-2</v>
      </c>
    </row>
    <row r="509" spans="1:8">
      <c r="A509" t="s">
        <v>1268</v>
      </c>
      <c r="B509" t="s">
        <v>920</v>
      </c>
      <c r="C509">
        <v>97</v>
      </c>
      <c r="D509">
        <v>683400.24999999895</v>
      </c>
      <c r="E509">
        <v>0.01</v>
      </c>
      <c r="F509">
        <v>2</v>
      </c>
      <c r="G509">
        <v>5736</v>
      </c>
      <c r="H509">
        <v>0.03</v>
      </c>
    </row>
    <row r="510" spans="1:8">
      <c r="A510" t="s">
        <v>1268</v>
      </c>
      <c r="B510" t="s">
        <v>1064</v>
      </c>
      <c r="C510">
        <v>38</v>
      </c>
      <c r="D510">
        <v>508609.12999999902</v>
      </c>
      <c r="E510">
        <v>0.01</v>
      </c>
      <c r="F510">
        <v>1</v>
      </c>
      <c r="G510">
        <v>3766</v>
      </c>
      <c r="H510">
        <v>0.03</v>
      </c>
    </row>
    <row r="511" spans="1:8">
      <c r="A511" t="s">
        <v>1268</v>
      </c>
      <c r="B511" t="s">
        <v>959</v>
      </c>
      <c r="C511">
        <v>194.9</v>
      </c>
      <c r="D511">
        <v>1803168.25</v>
      </c>
      <c r="E511">
        <v>0.01</v>
      </c>
      <c r="F511">
        <v>2</v>
      </c>
      <c r="G511">
        <v>14468</v>
      </c>
      <c r="H511">
        <v>0.01</v>
      </c>
    </row>
    <row r="512" spans="1:8">
      <c r="A512" t="s">
        <v>1268</v>
      </c>
      <c r="B512" t="s">
        <v>913</v>
      </c>
      <c r="C512">
        <v>43</v>
      </c>
      <c r="D512">
        <v>1577629.1</v>
      </c>
      <c r="E512">
        <v>0</v>
      </c>
      <c r="F512">
        <v>1</v>
      </c>
      <c r="G512">
        <v>13110</v>
      </c>
      <c r="H512">
        <v>0.01</v>
      </c>
    </row>
    <row r="513" spans="1:8">
      <c r="A513" t="s">
        <v>1269</v>
      </c>
      <c r="B513" t="s">
        <v>1179</v>
      </c>
      <c r="C513">
        <v>1528.9</v>
      </c>
      <c r="D513">
        <v>261821.53999999899</v>
      </c>
      <c r="E513">
        <v>0.57999999999999996</v>
      </c>
      <c r="F513">
        <v>4</v>
      </c>
      <c r="G513">
        <v>1796</v>
      </c>
      <c r="H513">
        <v>0.22</v>
      </c>
    </row>
    <row r="514" spans="1:8">
      <c r="A514" t="s">
        <v>1269</v>
      </c>
      <c r="B514" t="s">
        <v>1040</v>
      </c>
      <c r="C514">
        <v>1312.14</v>
      </c>
      <c r="D514">
        <v>293729.82999999903</v>
      </c>
      <c r="E514">
        <v>0.45</v>
      </c>
      <c r="F514">
        <v>5</v>
      </c>
      <c r="G514">
        <v>2316</v>
      </c>
      <c r="H514">
        <v>0.22</v>
      </c>
    </row>
    <row r="515" spans="1:8">
      <c r="A515" t="s">
        <v>1269</v>
      </c>
      <c r="B515" t="s">
        <v>925</v>
      </c>
      <c r="C515">
        <v>3223.49</v>
      </c>
      <c r="D515">
        <v>751552.01999999897</v>
      </c>
      <c r="E515">
        <v>0.43</v>
      </c>
      <c r="F515">
        <v>24</v>
      </c>
      <c r="G515">
        <v>6265</v>
      </c>
      <c r="H515">
        <v>0.38</v>
      </c>
    </row>
    <row r="516" spans="1:8">
      <c r="A516" t="s">
        <v>1269</v>
      </c>
      <c r="B516" t="s">
        <v>1045</v>
      </c>
      <c r="C516">
        <v>1272</v>
      </c>
      <c r="D516">
        <v>303593.40000000002</v>
      </c>
      <c r="E516">
        <v>0.42</v>
      </c>
      <c r="F516">
        <v>6</v>
      </c>
      <c r="G516">
        <v>2416</v>
      </c>
      <c r="H516">
        <v>0.25</v>
      </c>
    </row>
    <row r="517" spans="1:8">
      <c r="A517" t="s">
        <v>1269</v>
      </c>
      <c r="B517" t="s">
        <v>908</v>
      </c>
      <c r="C517">
        <v>18520.699999999899</v>
      </c>
      <c r="D517">
        <v>5195744.47999998</v>
      </c>
      <c r="E517">
        <v>0.36</v>
      </c>
      <c r="F517">
        <v>128</v>
      </c>
      <c r="G517">
        <v>47399</v>
      </c>
      <c r="H517">
        <v>0.27</v>
      </c>
    </row>
    <row r="518" spans="1:8">
      <c r="A518" t="s">
        <v>1269</v>
      </c>
      <c r="B518" t="s">
        <v>930</v>
      </c>
      <c r="C518">
        <v>1400.88</v>
      </c>
      <c r="D518">
        <v>514179.52999999898</v>
      </c>
      <c r="E518">
        <v>0.27</v>
      </c>
      <c r="F518">
        <v>15</v>
      </c>
      <c r="G518">
        <v>4156</v>
      </c>
      <c r="H518">
        <v>0.36</v>
      </c>
    </row>
    <row r="519" spans="1:8">
      <c r="A519" t="s">
        <v>1269</v>
      </c>
      <c r="B519" t="s">
        <v>920</v>
      </c>
      <c r="C519">
        <v>1207.8699999999999</v>
      </c>
      <c r="D519">
        <v>683400.24999999895</v>
      </c>
      <c r="E519">
        <v>0.18</v>
      </c>
      <c r="F519">
        <v>12</v>
      </c>
      <c r="G519">
        <v>5736</v>
      </c>
      <c r="H519">
        <v>0.21</v>
      </c>
    </row>
    <row r="520" spans="1:8">
      <c r="A520" t="s">
        <v>1269</v>
      </c>
      <c r="B520" t="s">
        <v>1027</v>
      </c>
      <c r="C520">
        <v>281</v>
      </c>
      <c r="D520">
        <v>155690.51</v>
      </c>
      <c r="E520">
        <v>0.18</v>
      </c>
      <c r="F520">
        <v>3</v>
      </c>
      <c r="G520">
        <v>1047</v>
      </c>
      <c r="H520">
        <v>0.28999999999999998</v>
      </c>
    </row>
    <row r="521" spans="1:8">
      <c r="A521" t="s">
        <v>1269</v>
      </c>
      <c r="B521" t="s">
        <v>959</v>
      </c>
      <c r="C521">
        <v>3126.6</v>
      </c>
      <c r="D521">
        <v>1803168.25</v>
      </c>
      <c r="E521">
        <v>0.17</v>
      </c>
      <c r="F521">
        <v>28</v>
      </c>
      <c r="G521">
        <v>14468</v>
      </c>
      <c r="H521">
        <v>0.19</v>
      </c>
    </row>
    <row r="522" spans="1:8">
      <c r="A522" t="s">
        <v>1269</v>
      </c>
      <c r="B522" t="s">
        <v>1128</v>
      </c>
      <c r="C522">
        <v>248</v>
      </c>
      <c r="D522">
        <v>226813.40999999901</v>
      </c>
      <c r="E522">
        <v>0.11</v>
      </c>
      <c r="F522">
        <v>2</v>
      </c>
      <c r="G522">
        <v>1472</v>
      </c>
      <c r="H522">
        <v>0.14000000000000001</v>
      </c>
    </row>
    <row r="523" spans="1:8">
      <c r="A523" t="s">
        <v>1269</v>
      </c>
      <c r="B523" t="s">
        <v>913</v>
      </c>
      <c r="C523">
        <v>1675.96</v>
      </c>
      <c r="D523">
        <v>1577629.1</v>
      </c>
      <c r="E523">
        <v>0.11</v>
      </c>
      <c r="F523">
        <v>17</v>
      </c>
      <c r="G523">
        <v>13110</v>
      </c>
      <c r="H523">
        <v>0.13</v>
      </c>
    </row>
    <row r="524" spans="1:8">
      <c r="A524" t="s">
        <v>1269</v>
      </c>
      <c r="B524" t="s">
        <v>1064</v>
      </c>
      <c r="C524">
        <v>465</v>
      </c>
      <c r="D524">
        <v>508609.12999999902</v>
      </c>
      <c r="E524">
        <v>0.09</v>
      </c>
      <c r="F524">
        <v>5</v>
      </c>
      <c r="G524">
        <v>3766</v>
      </c>
      <c r="H524">
        <v>0.13</v>
      </c>
    </row>
    <row r="525" spans="1:8">
      <c r="A525" t="s">
        <v>1269</v>
      </c>
      <c r="B525" t="s">
        <v>948</v>
      </c>
      <c r="C525">
        <v>136</v>
      </c>
      <c r="D525">
        <v>263711.51999999897</v>
      </c>
      <c r="E525">
        <v>0.05</v>
      </c>
      <c r="F525">
        <v>2</v>
      </c>
      <c r="G525">
        <v>2237</v>
      </c>
      <c r="H525">
        <v>0.09</v>
      </c>
    </row>
    <row r="526" spans="1:8">
      <c r="A526" t="s">
        <v>1270</v>
      </c>
      <c r="B526" t="s">
        <v>1045</v>
      </c>
      <c r="C526">
        <v>25137.019999999899</v>
      </c>
      <c r="D526">
        <v>303593.40000000002</v>
      </c>
      <c r="E526">
        <v>8.2799999999999994</v>
      </c>
      <c r="F526">
        <v>165</v>
      </c>
      <c r="G526">
        <v>2416</v>
      </c>
      <c r="H526">
        <v>6.83</v>
      </c>
    </row>
    <row r="527" spans="1:8">
      <c r="A527" t="s">
        <v>1270</v>
      </c>
      <c r="B527" t="s">
        <v>930</v>
      </c>
      <c r="C527">
        <v>37375.859999999899</v>
      </c>
      <c r="D527">
        <v>514179.52999999898</v>
      </c>
      <c r="E527">
        <v>7.27</v>
      </c>
      <c r="F527">
        <v>319</v>
      </c>
      <c r="G527">
        <v>4156</v>
      </c>
      <c r="H527">
        <v>7.68</v>
      </c>
    </row>
    <row r="528" spans="1:8">
      <c r="A528" t="s">
        <v>1270</v>
      </c>
      <c r="B528" t="s">
        <v>925</v>
      </c>
      <c r="C528">
        <v>53676.43</v>
      </c>
      <c r="D528">
        <v>751552.01999999897</v>
      </c>
      <c r="E528">
        <v>7.14</v>
      </c>
      <c r="F528">
        <v>495</v>
      </c>
      <c r="G528">
        <v>6265</v>
      </c>
      <c r="H528">
        <v>7.9</v>
      </c>
    </row>
    <row r="529" spans="1:8">
      <c r="A529" t="s">
        <v>1270</v>
      </c>
      <c r="B529" t="s">
        <v>913</v>
      </c>
      <c r="C529">
        <v>111240.12</v>
      </c>
      <c r="D529">
        <v>1577629.1</v>
      </c>
      <c r="E529">
        <v>7.05</v>
      </c>
      <c r="F529">
        <v>1000</v>
      </c>
      <c r="G529">
        <v>13110</v>
      </c>
      <c r="H529">
        <v>7.63</v>
      </c>
    </row>
    <row r="530" spans="1:8">
      <c r="A530" t="s">
        <v>1270</v>
      </c>
      <c r="B530" t="s">
        <v>908</v>
      </c>
      <c r="C530">
        <v>353402.08999999799</v>
      </c>
      <c r="D530">
        <v>5195744.47999998</v>
      </c>
      <c r="E530">
        <v>6.8</v>
      </c>
      <c r="F530">
        <v>3189</v>
      </c>
      <c r="G530">
        <v>47399</v>
      </c>
      <c r="H530">
        <v>6.73</v>
      </c>
    </row>
    <row r="531" spans="1:8">
      <c r="A531" t="s">
        <v>1270</v>
      </c>
      <c r="B531" t="s">
        <v>1208</v>
      </c>
      <c r="C531">
        <v>11694.09</v>
      </c>
      <c r="D531">
        <v>175925.19</v>
      </c>
      <c r="E531">
        <v>6.65</v>
      </c>
      <c r="F531">
        <v>90</v>
      </c>
      <c r="G531">
        <v>1067</v>
      </c>
      <c r="H531">
        <v>8.43</v>
      </c>
    </row>
    <row r="532" spans="1:8">
      <c r="A532" t="s">
        <v>1270</v>
      </c>
      <c r="B532" t="s">
        <v>959</v>
      </c>
      <c r="C532">
        <v>119619.29</v>
      </c>
      <c r="D532">
        <v>1803168.25</v>
      </c>
      <c r="E532">
        <v>6.63</v>
      </c>
      <c r="F532">
        <v>997</v>
      </c>
      <c r="G532">
        <v>14468</v>
      </c>
      <c r="H532">
        <v>6.89</v>
      </c>
    </row>
    <row r="533" spans="1:8">
      <c r="A533" t="s">
        <v>1270</v>
      </c>
      <c r="B533" t="s">
        <v>1064</v>
      </c>
      <c r="C533">
        <v>33550.0099999999</v>
      </c>
      <c r="D533">
        <v>508609.12999999902</v>
      </c>
      <c r="E533">
        <v>6.6</v>
      </c>
      <c r="F533">
        <v>258</v>
      </c>
      <c r="G533">
        <v>3766</v>
      </c>
      <c r="H533">
        <v>6.85</v>
      </c>
    </row>
    <row r="534" spans="1:8">
      <c r="A534" t="s">
        <v>1270</v>
      </c>
      <c r="B534" t="s">
        <v>920</v>
      </c>
      <c r="C534">
        <v>44292.489999999903</v>
      </c>
      <c r="D534">
        <v>683400.24999999895</v>
      </c>
      <c r="E534">
        <v>6.48</v>
      </c>
      <c r="F534">
        <v>390</v>
      </c>
      <c r="G534">
        <v>5736</v>
      </c>
      <c r="H534">
        <v>6.8</v>
      </c>
    </row>
    <row r="535" spans="1:8">
      <c r="A535" t="s">
        <v>1270</v>
      </c>
      <c r="B535" t="s">
        <v>1128</v>
      </c>
      <c r="C535">
        <v>13157.6499999999</v>
      </c>
      <c r="D535">
        <v>226813.40999999901</v>
      </c>
      <c r="E535">
        <v>5.8</v>
      </c>
      <c r="F535">
        <v>97</v>
      </c>
      <c r="G535">
        <v>1472</v>
      </c>
      <c r="H535">
        <v>6.59</v>
      </c>
    </row>
    <row r="536" spans="1:8">
      <c r="A536" t="s">
        <v>1270</v>
      </c>
      <c r="B536" t="s">
        <v>1027</v>
      </c>
      <c r="C536">
        <v>8703.16</v>
      </c>
      <c r="D536">
        <v>155690.51</v>
      </c>
      <c r="E536">
        <v>5.59</v>
      </c>
      <c r="F536">
        <v>54</v>
      </c>
      <c r="G536">
        <v>1047</v>
      </c>
      <c r="H536">
        <v>5.16</v>
      </c>
    </row>
    <row r="537" spans="1:8">
      <c r="A537" t="s">
        <v>1270</v>
      </c>
      <c r="B537" t="s">
        <v>948</v>
      </c>
      <c r="C537">
        <v>14659.869999999901</v>
      </c>
      <c r="D537">
        <v>263711.51999999897</v>
      </c>
      <c r="E537">
        <v>5.56</v>
      </c>
      <c r="F537">
        <v>148</v>
      </c>
      <c r="G537">
        <v>2237</v>
      </c>
      <c r="H537">
        <v>6.62</v>
      </c>
    </row>
    <row r="538" spans="1:8">
      <c r="A538" t="s">
        <v>1270</v>
      </c>
      <c r="B538" t="s">
        <v>1179</v>
      </c>
      <c r="C538">
        <v>12982.91</v>
      </c>
      <c r="D538">
        <v>261821.53999999899</v>
      </c>
      <c r="E538">
        <v>4.96</v>
      </c>
      <c r="F538">
        <v>106</v>
      </c>
      <c r="G538">
        <v>1796</v>
      </c>
      <c r="H538">
        <v>5.9</v>
      </c>
    </row>
    <row r="539" spans="1:8">
      <c r="A539" t="s">
        <v>1270</v>
      </c>
      <c r="B539" t="s">
        <v>1040</v>
      </c>
      <c r="C539">
        <v>13856.23</v>
      </c>
      <c r="D539">
        <v>293729.82999999903</v>
      </c>
      <c r="E539">
        <v>4.72</v>
      </c>
      <c r="F539">
        <v>124</v>
      </c>
      <c r="G539">
        <v>2316</v>
      </c>
      <c r="H539">
        <v>5.35</v>
      </c>
    </row>
    <row r="540" spans="1:8">
      <c r="A540" t="s">
        <v>1271</v>
      </c>
      <c r="B540" t="s">
        <v>1027</v>
      </c>
      <c r="C540">
        <v>3818.7</v>
      </c>
      <c r="D540">
        <v>155690.51</v>
      </c>
      <c r="E540">
        <v>2.4500000000000002</v>
      </c>
      <c r="F540">
        <v>6</v>
      </c>
      <c r="G540">
        <v>1047</v>
      </c>
      <c r="H540">
        <v>0.56999999999999995</v>
      </c>
    </row>
    <row r="541" spans="1:8">
      <c r="A541" t="s">
        <v>1271</v>
      </c>
      <c r="B541" t="s">
        <v>1179</v>
      </c>
      <c r="C541">
        <v>6410.49999999999</v>
      </c>
      <c r="D541">
        <v>261821.53999999899</v>
      </c>
      <c r="E541">
        <v>2.4500000000000002</v>
      </c>
      <c r="F541">
        <v>11</v>
      </c>
      <c r="G541">
        <v>1796</v>
      </c>
      <c r="H541">
        <v>0.61</v>
      </c>
    </row>
    <row r="542" spans="1:8">
      <c r="A542" t="s">
        <v>1271</v>
      </c>
      <c r="B542" t="s">
        <v>948</v>
      </c>
      <c r="C542">
        <v>5247.38</v>
      </c>
      <c r="D542">
        <v>263711.51999999897</v>
      </c>
      <c r="E542">
        <v>1.99</v>
      </c>
      <c r="F542">
        <v>21</v>
      </c>
      <c r="G542">
        <v>2237</v>
      </c>
      <c r="H542">
        <v>0.94</v>
      </c>
    </row>
    <row r="543" spans="1:8">
      <c r="A543" t="s">
        <v>1271</v>
      </c>
      <c r="B543" t="s">
        <v>1064</v>
      </c>
      <c r="C543">
        <v>10033.299999999999</v>
      </c>
      <c r="D543">
        <v>508609.12999999902</v>
      </c>
      <c r="E543">
        <v>1.97</v>
      </c>
      <c r="F543">
        <v>39</v>
      </c>
      <c r="G543">
        <v>3766</v>
      </c>
      <c r="H543">
        <v>1.04</v>
      </c>
    </row>
    <row r="544" spans="1:8">
      <c r="A544" t="s">
        <v>1271</v>
      </c>
      <c r="B544" t="s">
        <v>913</v>
      </c>
      <c r="C544">
        <v>25677.87</v>
      </c>
      <c r="D544">
        <v>1577629.1</v>
      </c>
      <c r="E544">
        <v>1.63</v>
      </c>
      <c r="F544">
        <v>79</v>
      </c>
      <c r="G544">
        <v>13110</v>
      </c>
      <c r="H544">
        <v>0.6</v>
      </c>
    </row>
    <row r="545" spans="1:8">
      <c r="A545" t="s">
        <v>1271</v>
      </c>
      <c r="B545" t="s">
        <v>930</v>
      </c>
      <c r="C545">
        <v>7741.89</v>
      </c>
      <c r="D545">
        <v>514179.52999999898</v>
      </c>
      <c r="E545">
        <v>1.51</v>
      </c>
      <c r="F545">
        <v>30</v>
      </c>
      <c r="G545">
        <v>4156</v>
      </c>
      <c r="H545">
        <v>0.72</v>
      </c>
    </row>
    <row r="546" spans="1:8">
      <c r="A546" t="s">
        <v>1271</v>
      </c>
      <c r="B546" t="s">
        <v>920</v>
      </c>
      <c r="C546">
        <v>10233.49</v>
      </c>
      <c r="D546">
        <v>683400.24999999895</v>
      </c>
      <c r="E546">
        <v>1.5</v>
      </c>
      <c r="F546">
        <v>37</v>
      </c>
      <c r="G546">
        <v>5736</v>
      </c>
      <c r="H546">
        <v>0.65</v>
      </c>
    </row>
    <row r="547" spans="1:8">
      <c r="A547" t="s">
        <v>1271</v>
      </c>
      <c r="B547" t="s">
        <v>1128</v>
      </c>
      <c r="C547">
        <v>3261.67</v>
      </c>
      <c r="D547">
        <v>226813.40999999901</v>
      </c>
      <c r="E547">
        <v>1.44</v>
      </c>
      <c r="F547">
        <v>7</v>
      </c>
      <c r="G547">
        <v>1472</v>
      </c>
      <c r="H547">
        <v>0.48</v>
      </c>
    </row>
    <row r="548" spans="1:8">
      <c r="A548" t="s">
        <v>1271</v>
      </c>
      <c r="B548" t="s">
        <v>908</v>
      </c>
      <c r="C548">
        <v>69497.509999999995</v>
      </c>
      <c r="D548">
        <v>5195744.47999998</v>
      </c>
      <c r="E548">
        <v>1.34</v>
      </c>
      <c r="F548">
        <v>267</v>
      </c>
      <c r="G548">
        <v>47399</v>
      </c>
      <c r="H548">
        <v>0.56000000000000005</v>
      </c>
    </row>
    <row r="549" spans="1:8">
      <c r="A549" t="s">
        <v>1271</v>
      </c>
      <c r="B549" t="s">
        <v>925</v>
      </c>
      <c r="C549">
        <v>9106.6</v>
      </c>
      <c r="D549">
        <v>751552.01999999897</v>
      </c>
      <c r="E549">
        <v>1.21</v>
      </c>
      <c r="F549">
        <v>32</v>
      </c>
      <c r="G549">
        <v>6265</v>
      </c>
      <c r="H549">
        <v>0.51</v>
      </c>
    </row>
    <row r="550" spans="1:8">
      <c r="A550" t="s">
        <v>1271</v>
      </c>
      <c r="B550" t="s">
        <v>959</v>
      </c>
      <c r="C550">
        <v>19321.589999999898</v>
      </c>
      <c r="D550">
        <v>1803168.25</v>
      </c>
      <c r="E550">
        <v>1.07</v>
      </c>
      <c r="F550">
        <v>78</v>
      </c>
      <c r="G550">
        <v>14468</v>
      </c>
      <c r="H550">
        <v>0.54</v>
      </c>
    </row>
    <row r="551" spans="1:8">
      <c r="A551" t="s">
        <v>1271</v>
      </c>
      <c r="B551" t="s">
        <v>1208</v>
      </c>
      <c r="C551">
        <v>1733.37</v>
      </c>
      <c r="D551">
        <v>175925.19</v>
      </c>
      <c r="E551">
        <v>0.99</v>
      </c>
      <c r="F551">
        <v>10</v>
      </c>
      <c r="G551">
        <v>1067</v>
      </c>
      <c r="H551">
        <v>0.94</v>
      </c>
    </row>
    <row r="552" spans="1:8">
      <c r="A552" t="s">
        <v>1271</v>
      </c>
      <c r="B552" t="s">
        <v>1045</v>
      </c>
      <c r="C552">
        <v>2532.6</v>
      </c>
      <c r="D552">
        <v>303593.40000000002</v>
      </c>
      <c r="E552">
        <v>0.83</v>
      </c>
      <c r="F552">
        <v>10</v>
      </c>
      <c r="G552">
        <v>2416</v>
      </c>
      <c r="H552">
        <v>0.41</v>
      </c>
    </row>
    <row r="553" spans="1:8">
      <c r="A553" t="s">
        <v>1271</v>
      </c>
      <c r="B553" t="s">
        <v>1040</v>
      </c>
      <c r="C553">
        <v>1472.84</v>
      </c>
      <c r="D553">
        <v>293729.82999999903</v>
      </c>
      <c r="E553">
        <v>0.5</v>
      </c>
      <c r="F553">
        <v>9</v>
      </c>
      <c r="G553">
        <v>2316</v>
      </c>
      <c r="H553">
        <v>0.39</v>
      </c>
    </row>
    <row r="554" spans="1:8">
      <c r="A554" t="s">
        <v>1272</v>
      </c>
      <c r="B554" t="s">
        <v>930</v>
      </c>
      <c r="C554">
        <v>494</v>
      </c>
      <c r="D554">
        <v>514179.52999999898</v>
      </c>
      <c r="E554">
        <v>0.1</v>
      </c>
      <c r="F554">
        <v>2</v>
      </c>
      <c r="G554">
        <v>4156</v>
      </c>
      <c r="H554">
        <v>0.05</v>
      </c>
    </row>
    <row r="555" spans="1:8">
      <c r="A555" t="s">
        <v>1272</v>
      </c>
      <c r="B555" t="s">
        <v>925</v>
      </c>
      <c r="C555">
        <v>428.99</v>
      </c>
      <c r="D555">
        <v>751552.01999999897</v>
      </c>
      <c r="E555">
        <v>0.06</v>
      </c>
      <c r="F555">
        <v>3</v>
      </c>
      <c r="G555">
        <v>6265</v>
      </c>
      <c r="H555">
        <v>0.05</v>
      </c>
    </row>
    <row r="556" spans="1:8">
      <c r="A556" t="s">
        <v>1272</v>
      </c>
      <c r="B556" t="s">
        <v>913</v>
      </c>
      <c r="C556">
        <v>266</v>
      </c>
      <c r="D556">
        <v>1577629.1</v>
      </c>
      <c r="E556">
        <v>0.02</v>
      </c>
      <c r="F556">
        <v>2</v>
      </c>
      <c r="G556">
        <v>13110</v>
      </c>
      <c r="H556">
        <v>0.02</v>
      </c>
    </row>
    <row r="557" spans="1:8">
      <c r="A557" t="s">
        <v>1272</v>
      </c>
      <c r="B557" t="s">
        <v>908</v>
      </c>
      <c r="C557">
        <v>729</v>
      </c>
      <c r="D557">
        <v>5195744.47999998</v>
      </c>
      <c r="E557">
        <v>0.01</v>
      </c>
      <c r="F557">
        <v>6</v>
      </c>
      <c r="G557">
        <v>47399</v>
      </c>
      <c r="H557">
        <v>0.01</v>
      </c>
    </row>
    <row r="558" spans="1:8">
      <c r="A558" t="s">
        <v>1273</v>
      </c>
      <c r="B558" t="s">
        <v>1208</v>
      </c>
      <c r="C558">
        <v>129.97999999999999</v>
      </c>
      <c r="D558">
        <v>175925.19</v>
      </c>
      <c r="E558">
        <v>7.0000000000000007E-2</v>
      </c>
      <c r="F558">
        <v>2</v>
      </c>
      <c r="G558">
        <v>1067</v>
      </c>
      <c r="H558">
        <v>0.19</v>
      </c>
    </row>
    <row r="559" spans="1:8">
      <c r="A559" t="s">
        <v>1273</v>
      </c>
      <c r="B559" t="s">
        <v>908</v>
      </c>
      <c r="C559">
        <v>2484.5</v>
      </c>
      <c r="D559">
        <v>5195744.47999998</v>
      </c>
      <c r="E559">
        <v>0.05</v>
      </c>
      <c r="F559">
        <v>37</v>
      </c>
      <c r="G559">
        <v>47399</v>
      </c>
      <c r="H559">
        <v>0.08</v>
      </c>
    </row>
    <row r="560" spans="1:8">
      <c r="A560" t="s">
        <v>1273</v>
      </c>
      <c r="B560" t="s">
        <v>959</v>
      </c>
      <c r="C560">
        <v>490.78</v>
      </c>
      <c r="D560">
        <v>1803168.25</v>
      </c>
      <c r="E560">
        <v>0.03</v>
      </c>
      <c r="F560">
        <v>6</v>
      </c>
      <c r="G560">
        <v>14468</v>
      </c>
      <c r="H560">
        <v>0.04</v>
      </c>
    </row>
    <row r="561" spans="1:8">
      <c r="A561" t="s">
        <v>1273</v>
      </c>
      <c r="B561" t="s">
        <v>913</v>
      </c>
      <c r="C561">
        <v>364.87</v>
      </c>
      <c r="D561">
        <v>1577629.1</v>
      </c>
      <c r="E561">
        <v>0.02</v>
      </c>
      <c r="F561">
        <v>7</v>
      </c>
      <c r="G561">
        <v>13110</v>
      </c>
      <c r="H561">
        <v>0.05</v>
      </c>
    </row>
    <row r="562" spans="1:8">
      <c r="A562" t="s">
        <v>1273</v>
      </c>
      <c r="B562" t="s">
        <v>920</v>
      </c>
      <c r="C562">
        <v>121.99</v>
      </c>
      <c r="D562">
        <v>683400.24999999895</v>
      </c>
      <c r="E562">
        <v>0.02</v>
      </c>
      <c r="F562">
        <v>2</v>
      </c>
      <c r="G562">
        <v>5736</v>
      </c>
      <c r="H562">
        <v>0.03</v>
      </c>
    </row>
    <row r="563" spans="1:8">
      <c r="A563" t="s">
        <v>1273</v>
      </c>
      <c r="B563" t="s">
        <v>1064</v>
      </c>
      <c r="C563">
        <v>77</v>
      </c>
      <c r="D563">
        <v>508609.12999999902</v>
      </c>
      <c r="E563">
        <v>0.02</v>
      </c>
      <c r="F563">
        <v>1</v>
      </c>
      <c r="G563">
        <v>3766</v>
      </c>
      <c r="H563">
        <v>0.03</v>
      </c>
    </row>
    <row r="564" spans="1:8">
      <c r="A564" t="s">
        <v>1273</v>
      </c>
      <c r="B564" t="s">
        <v>925</v>
      </c>
      <c r="C564">
        <v>136.88999999999999</v>
      </c>
      <c r="D564">
        <v>751552.01999999897</v>
      </c>
      <c r="E564">
        <v>0.02</v>
      </c>
      <c r="F564">
        <v>2</v>
      </c>
      <c r="G564">
        <v>6265</v>
      </c>
      <c r="H564">
        <v>0.03</v>
      </c>
    </row>
    <row r="565" spans="1:8">
      <c r="A565" t="s">
        <v>1273</v>
      </c>
      <c r="B565" t="s">
        <v>930</v>
      </c>
      <c r="C565">
        <v>24.95</v>
      </c>
      <c r="D565">
        <v>514179.52999999898</v>
      </c>
      <c r="E565">
        <v>0</v>
      </c>
      <c r="F565">
        <v>1</v>
      </c>
      <c r="G565">
        <v>4156</v>
      </c>
      <c r="H565">
        <v>0.02</v>
      </c>
    </row>
    <row r="566" spans="1:8">
      <c r="A566" t="s">
        <v>1274</v>
      </c>
      <c r="B566" t="s">
        <v>1040</v>
      </c>
      <c r="C566">
        <v>2062.59</v>
      </c>
      <c r="D566">
        <v>293729.82999999903</v>
      </c>
      <c r="E566">
        <v>0.7</v>
      </c>
      <c r="F566">
        <v>15</v>
      </c>
      <c r="G566">
        <v>2316</v>
      </c>
      <c r="H566">
        <v>0.65</v>
      </c>
    </row>
    <row r="567" spans="1:8">
      <c r="A567" t="s">
        <v>1274</v>
      </c>
      <c r="B567" t="s">
        <v>948</v>
      </c>
      <c r="C567">
        <v>1594.85</v>
      </c>
      <c r="D567">
        <v>263711.51999999897</v>
      </c>
      <c r="E567">
        <v>0.6</v>
      </c>
      <c r="F567">
        <v>11</v>
      </c>
      <c r="G567">
        <v>2237</v>
      </c>
      <c r="H567">
        <v>0.49</v>
      </c>
    </row>
    <row r="568" spans="1:8">
      <c r="A568" t="s">
        <v>1274</v>
      </c>
      <c r="B568" t="s">
        <v>1128</v>
      </c>
      <c r="C568">
        <v>1353.05</v>
      </c>
      <c r="D568">
        <v>226813.40999999901</v>
      </c>
      <c r="E568">
        <v>0.6</v>
      </c>
      <c r="F568">
        <v>7</v>
      </c>
      <c r="G568">
        <v>1472</v>
      </c>
      <c r="H568">
        <v>0.48</v>
      </c>
    </row>
    <row r="569" spans="1:8">
      <c r="A569" t="s">
        <v>1274</v>
      </c>
      <c r="B569" t="s">
        <v>920</v>
      </c>
      <c r="C569">
        <v>3003.25</v>
      </c>
      <c r="D569">
        <v>683400.24999999895</v>
      </c>
      <c r="E569">
        <v>0.44</v>
      </c>
      <c r="F569">
        <v>37</v>
      </c>
      <c r="G569">
        <v>5736</v>
      </c>
      <c r="H569">
        <v>0.65</v>
      </c>
    </row>
    <row r="570" spans="1:8">
      <c r="A570" t="s">
        <v>1274</v>
      </c>
      <c r="B570" t="s">
        <v>1045</v>
      </c>
      <c r="C570">
        <v>1245.8900000000001</v>
      </c>
      <c r="D570">
        <v>303593.40000000002</v>
      </c>
      <c r="E570">
        <v>0.41</v>
      </c>
      <c r="F570">
        <v>18</v>
      </c>
      <c r="G570">
        <v>2416</v>
      </c>
      <c r="H570">
        <v>0.75</v>
      </c>
    </row>
    <row r="571" spans="1:8">
      <c r="A571" t="s">
        <v>1274</v>
      </c>
      <c r="B571" t="s">
        <v>930</v>
      </c>
      <c r="C571">
        <v>1890.21999999999</v>
      </c>
      <c r="D571">
        <v>514179.52999999898</v>
      </c>
      <c r="E571">
        <v>0.37</v>
      </c>
      <c r="F571">
        <v>23</v>
      </c>
      <c r="G571">
        <v>4156</v>
      </c>
      <c r="H571">
        <v>0.55000000000000004</v>
      </c>
    </row>
    <row r="572" spans="1:8">
      <c r="A572" t="s">
        <v>1274</v>
      </c>
      <c r="B572" t="s">
        <v>908</v>
      </c>
      <c r="C572">
        <v>19178.6499999999</v>
      </c>
      <c r="D572">
        <v>5195744.47999998</v>
      </c>
      <c r="E572">
        <v>0.37</v>
      </c>
      <c r="F572">
        <v>226</v>
      </c>
      <c r="G572">
        <v>47399</v>
      </c>
      <c r="H572">
        <v>0.48</v>
      </c>
    </row>
    <row r="573" spans="1:8">
      <c r="A573" t="s">
        <v>1274</v>
      </c>
      <c r="B573" t="s">
        <v>925</v>
      </c>
      <c r="C573">
        <v>2540.85</v>
      </c>
      <c r="D573">
        <v>751552.01999999897</v>
      </c>
      <c r="E573">
        <v>0.34</v>
      </c>
      <c r="F573">
        <v>28</v>
      </c>
      <c r="G573">
        <v>6265</v>
      </c>
      <c r="H573">
        <v>0.45</v>
      </c>
    </row>
    <row r="574" spans="1:8">
      <c r="A574" t="s">
        <v>1274</v>
      </c>
      <c r="B574" t="s">
        <v>913</v>
      </c>
      <c r="C574">
        <v>4450.57</v>
      </c>
      <c r="D574">
        <v>1577629.1</v>
      </c>
      <c r="E574">
        <v>0.28000000000000003</v>
      </c>
      <c r="F574">
        <v>53</v>
      </c>
      <c r="G574">
        <v>13110</v>
      </c>
      <c r="H574">
        <v>0.4</v>
      </c>
    </row>
    <row r="575" spans="1:8">
      <c r="A575" t="s">
        <v>1274</v>
      </c>
      <c r="B575" t="s">
        <v>1179</v>
      </c>
      <c r="C575">
        <v>643.08000000000004</v>
      </c>
      <c r="D575">
        <v>261821.53999999899</v>
      </c>
      <c r="E575">
        <v>0.25</v>
      </c>
      <c r="F575">
        <v>8</v>
      </c>
      <c r="G575">
        <v>1796</v>
      </c>
      <c r="H575">
        <v>0.45</v>
      </c>
    </row>
    <row r="576" spans="1:8">
      <c r="A576" t="s">
        <v>1274</v>
      </c>
      <c r="B576" t="s">
        <v>959</v>
      </c>
      <c r="C576">
        <v>4216.26</v>
      </c>
      <c r="D576">
        <v>1803168.25</v>
      </c>
      <c r="E576">
        <v>0.23</v>
      </c>
      <c r="F576">
        <v>56</v>
      </c>
      <c r="G576">
        <v>14468</v>
      </c>
      <c r="H576">
        <v>0.39</v>
      </c>
    </row>
    <row r="577" spans="1:8">
      <c r="A577" t="s">
        <v>1274</v>
      </c>
      <c r="B577" t="s">
        <v>1064</v>
      </c>
      <c r="C577">
        <v>908.8</v>
      </c>
      <c r="D577">
        <v>508609.12999999902</v>
      </c>
      <c r="E577">
        <v>0.18</v>
      </c>
      <c r="F577">
        <v>14</v>
      </c>
      <c r="G577">
        <v>3766</v>
      </c>
      <c r="H577">
        <v>0.37</v>
      </c>
    </row>
    <row r="578" spans="1:8">
      <c r="A578" t="s">
        <v>1274</v>
      </c>
      <c r="B578" t="s">
        <v>1208</v>
      </c>
      <c r="C578">
        <v>171.69</v>
      </c>
      <c r="D578">
        <v>175925.19</v>
      </c>
      <c r="E578">
        <v>0.1</v>
      </c>
      <c r="F578">
        <v>5</v>
      </c>
      <c r="G578">
        <v>1067</v>
      </c>
      <c r="H578">
        <v>0.47</v>
      </c>
    </row>
    <row r="579" spans="1:8">
      <c r="A579" t="s">
        <v>1274</v>
      </c>
      <c r="B579" t="s">
        <v>1027</v>
      </c>
      <c r="C579">
        <v>44.5</v>
      </c>
      <c r="D579">
        <v>155690.51</v>
      </c>
      <c r="E579">
        <v>0.03</v>
      </c>
      <c r="F579">
        <v>2</v>
      </c>
      <c r="G579">
        <v>1047</v>
      </c>
      <c r="H579">
        <v>0.19</v>
      </c>
    </row>
    <row r="580" spans="1:8">
      <c r="A580" t="s">
        <v>1275</v>
      </c>
      <c r="B580" t="s">
        <v>948</v>
      </c>
      <c r="C580">
        <v>1138.5999999999999</v>
      </c>
      <c r="D580">
        <v>263711.51999999897</v>
      </c>
      <c r="E580">
        <v>0.43</v>
      </c>
      <c r="F580">
        <v>14</v>
      </c>
      <c r="G580">
        <v>2237</v>
      </c>
      <c r="H580">
        <v>0.63</v>
      </c>
    </row>
    <row r="581" spans="1:8">
      <c r="A581" t="s">
        <v>1275</v>
      </c>
      <c r="B581" t="s">
        <v>920</v>
      </c>
      <c r="C581">
        <v>1764.45</v>
      </c>
      <c r="D581">
        <v>683400.24999999895</v>
      </c>
      <c r="E581">
        <v>0.26</v>
      </c>
      <c r="F581">
        <v>15</v>
      </c>
      <c r="G581">
        <v>5736</v>
      </c>
      <c r="H581">
        <v>0.26</v>
      </c>
    </row>
    <row r="582" spans="1:8">
      <c r="A582" t="s">
        <v>1275</v>
      </c>
      <c r="B582" t="s">
        <v>1045</v>
      </c>
      <c r="C582">
        <v>672.8</v>
      </c>
      <c r="D582">
        <v>303593.40000000002</v>
      </c>
      <c r="E582">
        <v>0.22</v>
      </c>
      <c r="F582">
        <v>5</v>
      </c>
      <c r="G582">
        <v>2416</v>
      </c>
      <c r="H582">
        <v>0.21</v>
      </c>
    </row>
    <row r="583" spans="1:8">
      <c r="A583" t="s">
        <v>1275</v>
      </c>
      <c r="B583" t="s">
        <v>1027</v>
      </c>
      <c r="C583">
        <v>301.289999999999</v>
      </c>
      <c r="D583">
        <v>155690.51</v>
      </c>
      <c r="E583">
        <v>0.19</v>
      </c>
      <c r="F583">
        <v>5</v>
      </c>
      <c r="G583">
        <v>1047</v>
      </c>
      <c r="H583">
        <v>0.48</v>
      </c>
    </row>
    <row r="584" spans="1:8">
      <c r="A584" t="s">
        <v>1275</v>
      </c>
      <c r="B584" t="s">
        <v>930</v>
      </c>
      <c r="C584">
        <v>975.23</v>
      </c>
      <c r="D584">
        <v>514179.52999999898</v>
      </c>
      <c r="E584">
        <v>0.19</v>
      </c>
      <c r="F584">
        <v>10</v>
      </c>
      <c r="G584">
        <v>4156</v>
      </c>
      <c r="H584">
        <v>0.24</v>
      </c>
    </row>
    <row r="585" spans="1:8">
      <c r="A585" t="s">
        <v>1275</v>
      </c>
      <c r="B585" t="s">
        <v>1064</v>
      </c>
      <c r="C585">
        <v>720.52</v>
      </c>
      <c r="D585">
        <v>508609.12999999902</v>
      </c>
      <c r="E585">
        <v>0.14000000000000001</v>
      </c>
      <c r="F585">
        <v>10</v>
      </c>
      <c r="G585">
        <v>3766</v>
      </c>
      <c r="H585">
        <v>0.27</v>
      </c>
    </row>
    <row r="586" spans="1:8">
      <c r="A586" t="s">
        <v>1275</v>
      </c>
      <c r="B586" t="s">
        <v>908</v>
      </c>
      <c r="C586">
        <v>7464.79</v>
      </c>
      <c r="D586">
        <v>5195744.47999998</v>
      </c>
      <c r="E586">
        <v>0.14000000000000001</v>
      </c>
      <c r="F586">
        <v>113</v>
      </c>
      <c r="G586">
        <v>47399</v>
      </c>
      <c r="H586">
        <v>0.24</v>
      </c>
    </row>
    <row r="587" spans="1:8">
      <c r="A587" t="s">
        <v>1275</v>
      </c>
      <c r="B587" t="s">
        <v>925</v>
      </c>
      <c r="C587">
        <v>913.56</v>
      </c>
      <c r="D587">
        <v>751552.01999999897</v>
      </c>
      <c r="E587">
        <v>0.12</v>
      </c>
      <c r="F587">
        <v>12</v>
      </c>
      <c r="G587">
        <v>6265</v>
      </c>
      <c r="H587">
        <v>0.19</v>
      </c>
    </row>
    <row r="588" spans="1:8">
      <c r="A588" t="s">
        <v>1275</v>
      </c>
      <c r="B588" t="s">
        <v>1179</v>
      </c>
      <c r="C588">
        <v>313.39</v>
      </c>
      <c r="D588">
        <v>261821.53999999899</v>
      </c>
      <c r="E588">
        <v>0.12</v>
      </c>
      <c r="F588">
        <v>4</v>
      </c>
      <c r="G588">
        <v>1796</v>
      </c>
      <c r="H588">
        <v>0.22</v>
      </c>
    </row>
    <row r="589" spans="1:8">
      <c r="A589" t="s">
        <v>1275</v>
      </c>
      <c r="B589" t="s">
        <v>913</v>
      </c>
      <c r="C589">
        <v>1926</v>
      </c>
      <c r="D589">
        <v>1577629.1</v>
      </c>
      <c r="E589">
        <v>0.12</v>
      </c>
      <c r="F589">
        <v>30</v>
      </c>
      <c r="G589">
        <v>13110</v>
      </c>
      <c r="H589">
        <v>0.23</v>
      </c>
    </row>
    <row r="590" spans="1:8">
      <c r="A590" t="s">
        <v>1275</v>
      </c>
      <c r="B590" t="s">
        <v>1128</v>
      </c>
      <c r="C590">
        <v>256</v>
      </c>
      <c r="D590">
        <v>226813.40999999901</v>
      </c>
      <c r="E590">
        <v>0.11</v>
      </c>
      <c r="F590">
        <v>3</v>
      </c>
      <c r="G590">
        <v>1472</v>
      </c>
      <c r="H590">
        <v>0.2</v>
      </c>
    </row>
    <row r="591" spans="1:8">
      <c r="A591" t="s">
        <v>1275</v>
      </c>
      <c r="B591" t="s">
        <v>959</v>
      </c>
      <c r="C591">
        <v>1581.6799999999901</v>
      </c>
      <c r="D591">
        <v>1803168.25</v>
      </c>
      <c r="E591">
        <v>0.09</v>
      </c>
      <c r="F591">
        <v>28</v>
      </c>
      <c r="G591">
        <v>14468</v>
      </c>
      <c r="H591">
        <v>0.19</v>
      </c>
    </row>
    <row r="592" spans="1:8">
      <c r="A592" t="s">
        <v>1275</v>
      </c>
      <c r="B592" t="s">
        <v>1208</v>
      </c>
      <c r="C592">
        <v>148.88999999999999</v>
      </c>
      <c r="D592">
        <v>175925.19</v>
      </c>
      <c r="E592">
        <v>0.08</v>
      </c>
      <c r="F592">
        <v>2</v>
      </c>
      <c r="G592">
        <v>1067</v>
      </c>
      <c r="H592">
        <v>0.19</v>
      </c>
    </row>
    <row r="593" spans="1:8">
      <c r="A593" t="s">
        <v>1275</v>
      </c>
      <c r="B593" t="s">
        <v>1040</v>
      </c>
      <c r="C593">
        <v>196.65</v>
      </c>
      <c r="D593">
        <v>293729.82999999903</v>
      </c>
      <c r="E593">
        <v>7.0000000000000007E-2</v>
      </c>
      <c r="F593">
        <v>3</v>
      </c>
      <c r="G593">
        <v>2316</v>
      </c>
      <c r="H593">
        <v>0.13</v>
      </c>
    </row>
    <row r="594" spans="1:8">
      <c r="A594" t="s">
        <v>1276</v>
      </c>
      <c r="B594" t="s">
        <v>1128</v>
      </c>
      <c r="C594">
        <v>3416.5</v>
      </c>
      <c r="D594">
        <v>226813.40999999901</v>
      </c>
      <c r="E594">
        <v>1.51</v>
      </c>
      <c r="F594">
        <v>24</v>
      </c>
      <c r="G594">
        <v>1472</v>
      </c>
      <c r="H594">
        <v>1.63</v>
      </c>
    </row>
    <row r="595" spans="1:8">
      <c r="A595" t="s">
        <v>1276</v>
      </c>
      <c r="B595" t="s">
        <v>913</v>
      </c>
      <c r="C595">
        <v>22686.6499999999</v>
      </c>
      <c r="D595">
        <v>1577629.1</v>
      </c>
      <c r="E595">
        <v>1.44</v>
      </c>
      <c r="F595">
        <v>183</v>
      </c>
      <c r="G595">
        <v>13110</v>
      </c>
      <c r="H595">
        <v>1.4</v>
      </c>
    </row>
    <row r="596" spans="1:8">
      <c r="A596" t="s">
        <v>1276</v>
      </c>
      <c r="B596" t="s">
        <v>930</v>
      </c>
      <c r="C596">
        <v>5926.77</v>
      </c>
      <c r="D596">
        <v>514179.52999999898</v>
      </c>
      <c r="E596">
        <v>1.1499999999999999</v>
      </c>
      <c r="F596">
        <v>35</v>
      </c>
      <c r="G596">
        <v>4156</v>
      </c>
      <c r="H596">
        <v>0.84</v>
      </c>
    </row>
    <row r="597" spans="1:8">
      <c r="A597" t="s">
        <v>1276</v>
      </c>
      <c r="B597" t="s">
        <v>908</v>
      </c>
      <c r="C597">
        <v>56894.979999999901</v>
      </c>
      <c r="D597">
        <v>5195744.47999998</v>
      </c>
      <c r="E597">
        <v>1.1000000000000001</v>
      </c>
      <c r="F597">
        <v>454</v>
      </c>
      <c r="G597">
        <v>47399</v>
      </c>
      <c r="H597">
        <v>0.96</v>
      </c>
    </row>
    <row r="598" spans="1:8">
      <c r="A598" t="s">
        <v>1276</v>
      </c>
      <c r="B598" t="s">
        <v>948</v>
      </c>
      <c r="C598">
        <v>2553.48</v>
      </c>
      <c r="D598">
        <v>263711.51999999897</v>
      </c>
      <c r="E598">
        <v>0.97</v>
      </c>
      <c r="F598">
        <v>16</v>
      </c>
      <c r="G598">
        <v>2237</v>
      </c>
      <c r="H598">
        <v>0.72</v>
      </c>
    </row>
    <row r="599" spans="1:8">
      <c r="A599" t="s">
        <v>1276</v>
      </c>
      <c r="B599" t="s">
        <v>920</v>
      </c>
      <c r="C599">
        <v>6418.05</v>
      </c>
      <c r="D599">
        <v>683400.24999999895</v>
      </c>
      <c r="E599">
        <v>0.94</v>
      </c>
      <c r="F599">
        <v>51</v>
      </c>
      <c r="G599">
        <v>5736</v>
      </c>
      <c r="H599">
        <v>0.89</v>
      </c>
    </row>
    <row r="600" spans="1:8">
      <c r="A600" t="s">
        <v>1276</v>
      </c>
      <c r="B600" t="s">
        <v>925</v>
      </c>
      <c r="C600">
        <v>6959.95</v>
      </c>
      <c r="D600">
        <v>751552.01999999897</v>
      </c>
      <c r="E600">
        <v>0.93</v>
      </c>
      <c r="F600">
        <v>56</v>
      </c>
      <c r="G600">
        <v>6265</v>
      </c>
      <c r="H600">
        <v>0.89</v>
      </c>
    </row>
    <row r="601" spans="1:8">
      <c r="A601" t="s">
        <v>1276</v>
      </c>
      <c r="B601" t="s">
        <v>1045</v>
      </c>
      <c r="C601">
        <v>2776.85</v>
      </c>
      <c r="D601">
        <v>303593.40000000002</v>
      </c>
      <c r="E601">
        <v>0.91</v>
      </c>
      <c r="F601">
        <v>24</v>
      </c>
      <c r="G601">
        <v>2416</v>
      </c>
      <c r="H601">
        <v>0.99</v>
      </c>
    </row>
    <row r="602" spans="1:8">
      <c r="A602" t="s">
        <v>1276</v>
      </c>
      <c r="B602" t="s">
        <v>1208</v>
      </c>
      <c r="C602">
        <v>1515.63</v>
      </c>
      <c r="D602">
        <v>175925.19</v>
      </c>
      <c r="E602">
        <v>0.86</v>
      </c>
      <c r="F602">
        <v>7</v>
      </c>
      <c r="G602">
        <v>1067</v>
      </c>
      <c r="H602">
        <v>0.66</v>
      </c>
    </row>
    <row r="603" spans="1:8">
      <c r="A603" t="s">
        <v>1276</v>
      </c>
      <c r="B603" t="s">
        <v>959</v>
      </c>
      <c r="C603">
        <v>14727.6899999999</v>
      </c>
      <c r="D603">
        <v>1803168.25</v>
      </c>
      <c r="E603">
        <v>0.82</v>
      </c>
      <c r="F603">
        <v>120</v>
      </c>
      <c r="G603">
        <v>14468</v>
      </c>
      <c r="H603">
        <v>0.83</v>
      </c>
    </row>
    <row r="604" spans="1:8">
      <c r="A604" t="s">
        <v>1276</v>
      </c>
      <c r="B604" t="s">
        <v>1027</v>
      </c>
      <c r="C604">
        <v>1139.5899999999999</v>
      </c>
      <c r="D604">
        <v>155690.51</v>
      </c>
      <c r="E604">
        <v>0.73</v>
      </c>
      <c r="F604">
        <v>8</v>
      </c>
      <c r="G604">
        <v>1047</v>
      </c>
      <c r="H604">
        <v>0.76</v>
      </c>
    </row>
    <row r="605" spans="1:8">
      <c r="A605" t="s">
        <v>1276</v>
      </c>
      <c r="B605" t="s">
        <v>1064</v>
      </c>
      <c r="C605">
        <v>3435.83</v>
      </c>
      <c r="D605">
        <v>508609.12999999902</v>
      </c>
      <c r="E605">
        <v>0.68</v>
      </c>
      <c r="F605">
        <v>32</v>
      </c>
      <c r="G605">
        <v>3766</v>
      </c>
      <c r="H605">
        <v>0.85</v>
      </c>
    </row>
    <row r="606" spans="1:8">
      <c r="A606" t="s">
        <v>1276</v>
      </c>
      <c r="B606" t="s">
        <v>1179</v>
      </c>
      <c r="C606">
        <v>1635.26</v>
      </c>
      <c r="D606">
        <v>261821.53999999899</v>
      </c>
      <c r="E606">
        <v>0.62</v>
      </c>
      <c r="F606">
        <v>13</v>
      </c>
      <c r="G606">
        <v>1796</v>
      </c>
      <c r="H606">
        <v>0.72</v>
      </c>
    </row>
    <row r="607" spans="1:8">
      <c r="A607" t="s">
        <v>1276</v>
      </c>
      <c r="B607" t="s">
        <v>1040</v>
      </c>
      <c r="C607">
        <v>1632.77</v>
      </c>
      <c r="D607">
        <v>293729.82999999903</v>
      </c>
      <c r="E607">
        <v>0.56000000000000005</v>
      </c>
      <c r="F607">
        <v>12</v>
      </c>
      <c r="G607">
        <v>2316</v>
      </c>
      <c r="H607">
        <v>0.52</v>
      </c>
    </row>
    <row r="608" spans="1:8">
      <c r="A608" t="s">
        <v>1277</v>
      </c>
      <c r="B608" t="s">
        <v>1027</v>
      </c>
      <c r="C608">
        <v>662.24</v>
      </c>
      <c r="D608">
        <v>155690.51</v>
      </c>
      <c r="E608">
        <v>0.43</v>
      </c>
      <c r="F608">
        <v>5</v>
      </c>
      <c r="G608">
        <v>1047</v>
      </c>
      <c r="H608">
        <v>0.48</v>
      </c>
    </row>
    <row r="609" spans="1:8">
      <c r="A609" t="s">
        <v>1277</v>
      </c>
      <c r="B609" t="s">
        <v>1064</v>
      </c>
      <c r="C609">
        <v>2135.69</v>
      </c>
      <c r="D609">
        <v>508609.12999999902</v>
      </c>
      <c r="E609">
        <v>0.42</v>
      </c>
      <c r="F609">
        <v>4</v>
      </c>
      <c r="G609">
        <v>3766</v>
      </c>
      <c r="H609">
        <v>0.11</v>
      </c>
    </row>
    <row r="610" spans="1:8">
      <c r="A610" t="s">
        <v>1277</v>
      </c>
      <c r="B610" t="s">
        <v>948</v>
      </c>
      <c r="C610">
        <v>828.78</v>
      </c>
      <c r="D610">
        <v>263711.51999999897</v>
      </c>
      <c r="E610">
        <v>0.31</v>
      </c>
      <c r="F610">
        <v>7</v>
      </c>
      <c r="G610">
        <v>2237</v>
      </c>
      <c r="H610">
        <v>0.31</v>
      </c>
    </row>
    <row r="611" spans="1:8">
      <c r="A611" t="s">
        <v>1277</v>
      </c>
      <c r="B611" t="s">
        <v>1208</v>
      </c>
      <c r="C611">
        <v>485.159999999999</v>
      </c>
      <c r="D611">
        <v>175925.19</v>
      </c>
      <c r="E611">
        <v>0.28000000000000003</v>
      </c>
      <c r="F611">
        <v>5</v>
      </c>
      <c r="G611">
        <v>1067</v>
      </c>
      <c r="H611">
        <v>0.47</v>
      </c>
    </row>
    <row r="612" spans="1:8">
      <c r="A612" t="s">
        <v>1277</v>
      </c>
      <c r="B612" t="s">
        <v>930</v>
      </c>
      <c r="C612">
        <v>1448.69</v>
      </c>
      <c r="D612">
        <v>514179.52999999898</v>
      </c>
      <c r="E612">
        <v>0.28000000000000003</v>
      </c>
      <c r="F612">
        <v>14</v>
      </c>
      <c r="G612">
        <v>4156</v>
      </c>
      <c r="H612">
        <v>0.34</v>
      </c>
    </row>
    <row r="613" spans="1:8">
      <c r="A613" t="s">
        <v>1277</v>
      </c>
      <c r="B613" t="s">
        <v>925</v>
      </c>
      <c r="C613">
        <v>1945.54</v>
      </c>
      <c r="D613">
        <v>751552.01999999897</v>
      </c>
      <c r="E613">
        <v>0.26</v>
      </c>
      <c r="F613">
        <v>20</v>
      </c>
      <c r="G613">
        <v>6265</v>
      </c>
      <c r="H613">
        <v>0.32</v>
      </c>
    </row>
    <row r="614" spans="1:8">
      <c r="A614" t="s">
        <v>1277</v>
      </c>
      <c r="B614" t="s">
        <v>1128</v>
      </c>
      <c r="C614">
        <v>558.35</v>
      </c>
      <c r="D614">
        <v>226813.40999999901</v>
      </c>
      <c r="E614">
        <v>0.25</v>
      </c>
      <c r="F614">
        <v>4</v>
      </c>
      <c r="G614">
        <v>1472</v>
      </c>
      <c r="H614">
        <v>0.27</v>
      </c>
    </row>
    <row r="615" spans="1:8">
      <c r="A615" t="s">
        <v>1277</v>
      </c>
      <c r="B615" t="s">
        <v>908</v>
      </c>
      <c r="C615">
        <v>9824.6299999999992</v>
      </c>
      <c r="D615">
        <v>5195744.47999998</v>
      </c>
      <c r="E615">
        <v>0.19</v>
      </c>
      <c r="F615">
        <v>117</v>
      </c>
      <c r="G615">
        <v>47399</v>
      </c>
      <c r="H615">
        <v>0.25</v>
      </c>
    </row>
    <row r="616" spans="1:8">
      <c r="A616" t="s">
        <v>1277</v>
      </c>
      <c r="B616" t="s">
        <v>913</v>
      </c>
      <c r="C616">
        <v>2825.05</v>
      </c>
      <c r="D616">
        <v>1577629.1</v>
      </c>
      <c r="E616">
        <v>0.18</v>
      </c>
      <c r="F616">
        <v>33</v>
      </c>
      <c r="G616">
        <v>13110</v>
      </c>
      <c r="H616">
        <v>0.25</v>
      </c>
    </row>
    <row r="617" spans="1:8">
      <c r="A617" t="s">
        <v>1277</v>
      </c>
      <c r="B617" t="s">
        <v>959</v>
      </c>
      <c r="C617">
        <v>2967.74</v>
      </c>
      <c r="D617">
        <v>1803168.25</v>
      </c>
      <c r="E617">
        <v>0.16</v>
      </c>
      <c r="F617">
        <v>36</v>
      </c>
      <c r="G617">
        <v>14468</v>
      </c>
      <c r="H617">
        <v>0.25</v>
      </c>
    </row>
    <row r="618" spans="1:8">
      <c r="A618" t="s">
        <v>1277</v>
      </c>
      <c r="B618" t="s">
        <v>920</v>
      </c>
      <c r="C618">
        <v>928.94</v>
      </c>
      <c r="D618">
        <v>683400.24999999895</v>
      </c>
      <c r="E618">
        <v>0.14000000000000001</v>
      </c>
      <c r="F618">
        <v>15</v>
      </c>
      <c r="G618">
        <v>5736</v>
      </c>
      <c r="H618">
        <v>0.26</v>
      </c>
    </row>
    <row r="619" spans="1:8">
      <c r="A619" t="s">
        <v>1277</v>
      </c>
      <c r="B619" t="s">
        <v>1040</v>
      </c>
      <c r="C619">
        <v>354.75</v>
      </c>
      <c r="D619">
        <v>293729.82999999903</v>
      </c>
      <c r="E619">
        <v>0.12</v>
      </c>
      <c r="F619">
        <v>12</v>
      </c>
      <c r="G619">
        <v>2316</v>
      </c>
      <c r="H619">
        <v>0.52</v>
      </c>
    </row>
    <row r="620" spans="1:8">
      <c r="A620" t="s">
        <v>1277</v>
      </c>
      <c r="B620" t="s">
        <v>1045</v>
      </c>
      <c r="C620">
        <v>326.70999999999998</v>
      </c>
      <c r="D620">
        <v>303593.40000000002</v>
      </c>
      <c r="E620">
        <v>0.11</v>
      </c>
      <c r="F620">
        <v>4</v>
      </c>
      <c r="G620">
        <v>2416</v>
      </c>
      <c r="H620">
        <v>0.17</v>
      </c>
    </row>
    <row r="621" spans="1:8">
      <c r="A621" t="s">
        <v>1277</v>
      </c>
      <c r="B621" t="s">
        <v>1179</v>
      </c>
      <c r="C621">
        <v>274.95999999999998</v>
      </c>
      <c r="D621">
        <v>261821.53999999899</v>
      </c>
      <c r="E621">
        <v>0.11</v>
      </c>
      <c r="F621">
        <v>4</v>
      </c>
      <c r="G621">
        <v>1796</v>
      </c>
      <c r="H621">
        <v>0.22</v>
      </c>
    </row>
    <row r="622" spans="1:8">
      <c r="A622" t="s">
        <v>1278</v>
      </c>
      <c r="B622" t="s">
        <v>1045</v>
      </c>
      <c r="C622">
        <v>249</v>
      </c>
      <c r="D622">
        <v>303593.40000000002</v>
      </c>
      <c r="E622">
        <v>0.08</v>
      </c>
      <c r="F622">
        <v>1</v>
      </c>
      <c r="G622">
        <v>2416</v>
      </c>
      <c r="H622">
        <v>0.04</v>
      </c>
    </row>
    <row r="623" spans="1:8">
      <c r="A623" t="s">
        <v>1278</v>
      </c>
      <c r="B623" t="s">
        <v>959</v>
      </c>
      <c r="C623">
        <v>1019.99</v>
      </c>
      <c r="D623">
        <v>1803168.25</v>
      </c>
      <c r="E623">
        <v>0.06</v>
      </c>
      <c r="F623">
        <v>8</v>
      </c>
      <c r="G623">
        <v>14468</v>
      </c>
      <c r="H623">
        <v>0.06</v>
      </c>
    </row>
    <row r="624" spans="1:8">
      <c r="A624" t="s">
        <v>1278</v>
      </c>
      <c r="B624" t="s">
        <v>908</v>
      </c>
      <c r="C624">
        <v>2083.9</v>
      </c>
      <c r="D624">
        <v>5195744.47999998</v>
      </c>
      <c r="E624">
        <v>0.04</v>
      </c>
      <c r="F624">
        <v>22</v>
      </c>
      <c r="G624">
        <v>47399</v>
      </c>
      <c r="H624">
        <v>0.05</v>
      </c>
    </row>
    <row r="625" spans="1:8">
      <c r="A625" t="s">
        <v>1278</v>
      </c>
      <c r="B625" t="s">
        <v>913</v>
      </c>
      <c r="C625">
        <v>561.49</v>
      </c>
      <c r="D625">
        <v>1577629.1</v>
      </c>
      <c r="E625">
        <v>0.04</v>
      </c>
      <c r="F625">
        <v>3</v>
      </c>
      <c r="G625">
        <v>13110</v>
      </c>
      <c r="H625">
        <v>0.02</v>
      </c>
    </row>
    <row r="626" spans="1:8">
      <c r="A626" t="s">
        <v>1278</v>
      </c>
      <c r="B626" t="s">
        <v>1040</v>
      </c>
      <c r="C626">
        <v>85</v>
      </c>
      <c r="D626">
        <v>293729.82999999903</v>
      </c>
      <c r="E626">
        <v>0.03</v>
      </c>
      <c r="F626">
        <v>1</v>
      </c>
      <c r="G626">
        <v>2316</v>
      </c>
      <c r="H626">
        <v>0.04</v>
      </c>
    </row>
    <row r="627" spans="1:8">
      <c r="A627" t="s">
        <v>1278</v>
      </c>
      <c r="B627" t="s">
        <v>930</v>
      </c>
      <c r="C627">
        <v>119.7</v>
      </c>
      <c r="D627">
        <v>514179.52999999898</v>
      </c>
      <c r="E627">
        <v>0.02</v>
      </c>
      <c r="F627">
        <v>2</v>
      </c>
      <c r="G627">
        <v>4156</v>
      </c>
      <c r="H627">
        <v>0.05</v>
      </c>
    </row>
    <row r="628" spans="1:8">
      <c r="A628" t="s">
        <v>1279</v>
      </c>
      <c r="B628" t="s">
        <v>920</v>
      </c>
      <c r="C628">
        <v>3439.09</v>
      </c>
      <c r="D628">
        <v>683400.24999999895</v>
      </c>
      <c r="E628">
        <v>0.5</v>
      </c>
      <c r="F628">
        <v>14</v>
      </c>
      <c r="G628">
        <v>5736</v>
      </c>
      <c r="H628">
        <v>0.24</v>
      </c>
    </row>
    <row r="629" spans="1:8">
      <c r="A629" t="s">
        <v>1279</v>
      </c>
      <c r="B629" t="s">
        <v>908</v>
      </c>
      <c r="C629">
        <v>23965.359999999899</v>
      </c>
      <c r="D629">
        <v>5195744.47999998</v>
      </c>
      <c r="E629">
        <v>0.46</v>
      </c>
      <c r="F629">
        <v>142</v>
      </c>
      <c r="G629">
        <v>47399</v>
      </c>
      <c r="H629">
        <v>0.3</v>
      </c>
    </row>
    <row r="630" spans="1:8">
      <c r="A630" t="s">
        <v>1279</v>
      </c>
      <c r="B630" t="s">
        <v>1045</v>
      </c>
      <c r="C630">
        <v>1323.8</v>
      </c>
      <c r="D630">
        <v>303593.40000000002</v>
      </c>
      <c r="E630">
        <v>0.44</v>
      </c>
      <c r="F630">
        <v>5</v>
      </c>
      <c r="G630">
        <v>2416</v>
      </c>
      <c r="H630">
        <v>0.21</v>
      </c>
    </row>
    <row r="631" spans="1:8">
      <c r="A631" t="s">
        <v>1279</v>
      </c>
      <c r="B631" t="s">
        <v>1027</v>
      </c>
      <c r="C631">
        <v>660</v>
      </c>
      <c r="D631">
        <v>155690.51</v>
      </c>
      <c r="E631">
        <v>0.42</v>
      </c>
      <c r="F631">
        <v>3</v>
      </c>
      <c r="G631">
        <v>1047</v>
      </c>
      <c r="H631">
        <v>0.28999999999999998</v>
      </c>
    </row>
    <row r="632" spans="1:8">
      <c r="A632" t="s">
        <v>1279</v>
      </c>
      <c r="B632" t="s">
        <v>959</v>
      </c>
      <c r="C632">
        <v>7427.34</v>
      </c>
      <c r="D632">
        <v>1803168.25</v>
      </c>
      <c r="E632">
        <v>0.41</v>
      </c>
      <c r="F632">
        <v>47</v>
      </c>
      <c r="G632">
        <v>14468</v>
      </c>
      <c r="H632">
        <v>0.32</v>
      </c>
    </row>
    <row r="633" spans="1:8">
      <c r="A633" t="s">
        <v>1279</v>
      </c>
      <c r="B633" t="s">
        <v>1179</v>
      </c>
      <c r="C633">
        <v>1051.8800000000001</v>
      </c>
      <c r="D633">
        <v>261821.53999999899</v>
      </c>
      <c r="E633">
        <v>0.4</v>
      </c>
      <c r="F633">
        <v>4</v>
      </c>
      <c r="G633">
        <v>1796</v>
      </c>
      <c r="H633">
        <v>0.22</v>
      </c>
    </row>
    <row r="634" spans="1:8">
      <c r="A634" t="s">
        <v>1279</v>
      </c>
      <c r="B634" t="s">
        <v>925</v>
      </c>
      <c r="C634">
        <v>1969.6</v>
      </c>
      <c r="D634">
        <v>751552.01999999897</v>
      </c>
      <c r="E634">
        <v>0.26</v>
      </c>
      <c r="F634">
        <v>13</v>
      </c>
      <c r="G634">
        <v>6265</v>
      </c>
      <c r="H634">
        <v>0.21</v>
      </c>
    </row>
    <row r="635" spans="1:8">
      <c r="A635" t="s">
        <v>1279</v>
      </c>
      <c r="B635" t="s">
        <v>913</v>
      </c>
      <c r="C635">
        <v>3886.46</v>
      </c>
      <c r="D635">
        <v>1577629.1</v>
      </c>
      <c r="E635">
        <v>0.25</v>
      </c>
      <c r="F635">
        <v>29</v>
      </c>
      <c r="G635">
        <v>13110</v>
      </c>
      <c r="H635">
        <v>0.22</v>
      </c>
    </row>
    <row r="636" spans="1:8">
      <c r="A636" t="s">
        <v>1279</v>
      </c>
      <c r="B636" t="s">
        <v>930</v>
      </c>
      <c r="C636">
        <v>714.48</v>
      </c>
      <c r="D636">
        <v>514179.52999999898</v>
      </c>
      <c r="E636">
        <v>0.14000000000000001</v>
      </c>
      <c r="F636">
        <v>7</v>
      </c>
      <c r="G636">
        <v>4156</v>
      </c>
      <c r="H636">
        <v>0.17</v>
      </c>
    </row>
    <row r="637" spans="1:8">
      <c r="A637" t="s">
        <v>1279</v>
      </c>
      <c r="B637" t="s">
        <v>1040</v>
      </c>
      <c r="C637">
        <v>305.76</v>
      </c>
      <c r="D637">
        <v>293729.82999999903</v>
      </c>
      <c r="E637">
        <v>0.1</v>
      </c>
      <c r="F637">
        <v>4</v>
      </c>
      <c r="G637">
        <v>2316</v>
      </c>
      <c r="H637">
        <v>0.17</v>
      </c>
    </row>
    <row r="638" spans="1:8">
      <c r="A638" t="s">
        <v>1279</v>
      </c>
      <c r="B638" t="s">
        <v>1128</v>
      </c>
      <c r="C638">
        <v>140</v>
      </c>
      <c r="D638">
        <v>226813.40999999901</v>
      </c>
      <c r="E638">
        <v>0.06</v>
      </c>
      <c r="F638">
        <v>1</v>
      </c>
      <c r="G638">
        <v>1472</v>
      </c>
      <c r="H638">
        <v>7.0000000000000007E-2</v>
      </c>
    </row>
    <row r="639" spans="1:8">
      <c r="A639" t="s">
        <v>1279</v>
      </c>
      <c r="B639" t="s">
        <v>1064</v>
      </c>
      <c r="C639">
        <v>201.9</v>
      </c>
      <c r="D639">
        <v>508609.12999999902</v>
      </c>
      <c r="E639">
        <v>0.04</v>
      </c>
      <c r="F639">
        <v>3</v>
      </c>
      <c r="G639">
        <v>3766</v>
      </c>
      <c r="H639">
        <v>0.08</v>
      </c>
    </row>
    <row r="640" spans="1:8">
      <c r="A640" t="s">
        <v>1279</v>
      </c>
      <c r="B640" t="s">
        <v>1208</v>
      </c>
      <c r="C640">
        <v>48.9</v>
      </c>
      <c r="D640">
        <v>175925.19</v>
      </c>
      <c r="E640">
        <v>0.03</v>
      </c>
      <c r="F640">
        <v>1</v>
      </c>
      <c r="G640">
        <v>1067</v>
      </c>
      <c r="H640">
        <v>0.09</v>
      </c>
    </row>
    <row r="641" spans="1:8">
      <c r="A641" t="s">
        <v>1279</v>
      </c>
      <c r="B641" t="s">
        <v>948</v>
      </c>
      <c r="C641">
        <v>48</v>
      </c>
      <c r="D641">
        <v>263711.51999999897</v>
      </c>
      <c r="E641">
        <v>0.02</v>
      </c>
      <c r="F641">
        <v>1</v>
      </c>
      <c r="G641">
        <v>2237</v>
      </c>
      <c r="H641">
        <v>0.04</v>
      </c>
    </row>
    <row r="642" spans="1:8">
      <c r="A642" t="s">
        <v>1280</v>
      </c>
      <c r="B642" t="s">
        <v>920</v>
      </c>
      <c r="C642">
        <v>50795.269999999902</v>
      </c>
      <c r="D642">
        <v>683400.24999999895</v>
      </c>
      <c r="E642">
        <v>7.43</v>
      </c>
      <c r="F642">
        <v>531</v>
      </c>
      <c r="G642">
        <v>5736</v>
      </c>
      <c r="H642">
        <v>9.26</v>
      </c>
    </row>
    <row r="643" spans="1:8">
      <c r="A643" t="s">
        <v>1280</v>
      </c>
      <c r="B643" t="s">
        <v>925</v>
      </c>
      <c r="C643">
        <v>54767.679999999898</v>
      </c>
      <c r="D643">
        <v>751552.01999999897</v>
      </c>
      <c r="E643">
        <v>7.29</v>
      </c>
      <c r="F643">
        <v>560</v>
      </c>
      <c r="G643">
        <v>6265</v>
      </c>
      <c r="H643">
        <v>8.94</v>
      </c>
    </row>
    <row r="644" spans="1:8">
      <c r="A644" t="s">
        <v>1280</v>
      </c>
      <c r="B644" t="s">
        <v>930</v>
      </c>
      <c r="C644">
        <v>32304.339999999898</v>
      </c>
      <c r="D644">
        <v>514179.52999999898</v>
      </c>
      <c r="E644">
        <v>6.28</v>
      </c>
      <c r="F644">
        <v>350</v>
      </c>
      <c r="G644">
        <v>4156</v>
      </c>
      <c r="H644">
        <v>8.42</v>
      </c>
    </row>
    <row r="645" spans="1:8">
      <c r="A645" t="s">
        <v>1280</v>
      </c>
      <c r="B645" t="s">
        <v>908</v>
      </c>
      <c r="C645">
        <v>287009.729999998</v>
      </c>
      <c r="D645">
        <v>5195744.47999998</v>
      </c>
      <c r="E645">
        <v>5.52</v>
      </c>
      <c r="F645">
        <v>3533</v>
      </c>
      <c r="G645">
        <v>47399</v>
      </c>
      <c r="H645">
        <v>7.45</v>
      </c>
    </row>
    <row r="646" spans="1:8">
      <c r="A646" t="s">
        <v>1280</v>
      </c>
      <c r="B646" t="s">
        <v>959</v>
      </c>
      <c r="C646">
        <v>98539.570000000298</v>
      </c>
      <c r="D646">
        <v>1803168.25</v>
      </c>
      <c r="E646">
        <v>5.46</v>
      </c>
      <c r="F646">
        <v>1087</v>
      </c>
      <c r="G646">
        <v>14468</v>
      </c>
      <c r="H646">
        <v>7.51</v>
      </c>
    </row>
    <row r="647" spans="1:8">
      <c r="A647" t="s">
        <v>1280</v>
      </c>
      <c r="B647" t="s">
        <v>1208</v>
      </c>
      <c r="C647">
        <v>9121.44</v>
      </c>
      <c r="D647">
        <v>175925.19</v>
      </c>
      <c r="E647">
        <v>5.18</v>
      </c>
      <c r="F647">
        <v>71</v>
      </c>
      <c r="G647">
        <v>1067</v>
      </c>
      <c r="H647">
        <v>6.65</v>
      </c>
    </row>
    <row r="648" spans="1:8">
      <c r="A648" t="s">
        <v>1280</v>
      </c>
      <c r="B648" t="s">
        <v>913</v>
      </c>
      <c r="C648">
        <v>78920.850000000093</v>
      </c>
      <c r="D648">
        <v>1577629.1</v>
      </c>
      <c r="E648">
        <v>5</v>
      </c>
      <c r="F648">
        <v>950</v>
      </c>
      <c r="G648">
        <v>13110</v>
      </c>
      <c r="H648">
        <v>7.25</v>
      </c>
    </row>
    <row r="649" spans="1:8">
      <c r="A649" t="s">
        <v>1280</v>
      </c>
      <c r="B649" t="s">
        <v>948</v>
      </c>
      <c r="C649">
        <v>12869.32</v>
      </c>
      <c r="D649">
        <v>263711.51999999897</v>
      </c>
      <c r="E649">
        <v>4.88</v>
      </c>
      <c r="F649">
        <v>145</v>
      </c>
      <c r="G649">
        <v>2237</v>
      </c>
      <c r="H649">
        <v>6.48</v>
      </c>
    </row>
    <row r="650" spans="1:8">
      <c r="A650" t="s">
        <v>1280</v>
      </c>
      <c r="B650" t="s">
        <v>1064</v>
      </c>
      <c r="C650">
        <v>23358.629999999899</v>
      </c>
      <c r="D650">
        <v>508609.12999999902</v>
      </c>
      <c r="E650">
        <v>4.59</v>
      </c>
      <c r="F650">
        <v>252</v>
      </c>
      <c r="G650">
        <v>3766</v>
      </c>
      <c r="H650">
        <v>6.69</v>
      </c>
    </row>
    <row r="651" spans="1:8">
      <c r="A651" t="s">
        <v>1280</v>
      </c>
      <c r="B651" t="s">
        <v>1040</v>
      </c>
      <c r="C651">
        <v>12599.89</v>
      </c>
      <c r="D651">
        <v>293729.82999999903</v>
      </c>
      <c r="E651">
        <v>4.29</v>
      </c>
      <c r="F651">
        <v>126</v>
      </c>
      <c r="G651">
        <v>2316</v>
      </c>
      <c r="H651">
        <v>5.44</v>
      </c>
    </row>
    <row r="652" spans="1:8">
      <c r="A652" t="s">
        <v>1280</v>
      </c>
      <c r="B652" t="s">
        <v>1128</v>
      </c>
      <c r="C652">
        <v>9216.0400000000009</v>
      </c>
      <c r="D652">
        <v>226813.40999999901</v>
      </c>
      <c r="E652">
        <v>4.0599999999999996</v>
      </c>
      <c r="F652">
        <v>87</v>
      </c>
      <c r="G652">
        <v>1472</v>
      </c>
      <c r="H652">
        <v>5.91</v>
      </c>
    </row>
    <row r="653" spans="1:8">
      <c r="A653" t="s">
        <v>1280</v>
      </c>
      <c r="B653" t="s">
        <v>1045</v>
      </c>
      <c r="C653">
        <v>12281</v>
      </c>
      <c r="D653">
        <v>303593.40000000002</v>
      </c>
      <c r="E653">
        <v>4.05</v>
      </c>
      <c r="F653">
        <v>157</v>
      </c>
      <c r="G653">
        <v>2416</v>
      </c>
      <c r="H653">
        <v>6.5</v>
      </c>
    </row>
    <row r="654" spans="1:8">
      <c r="A654" t="s">
        <v>1280</v>
      </c>
      <c r="B654" t="s">
        <v>1027</v>
      </c>
      <c r="C654">
        <v>6196.09</v>
      </c>
      <c r="D654">
        <v>155690.51</v>
      </c>
      <c r="E654">
        <v>3.98</v>
      </c>
      <c r="F654">
        <v>68</v>
      </c>
      <c r="G654">
        <v>1047</v>
      </c>
      <c r="H654">
        <v>6.49</v>
      </c>
    </row>
    <row r="655" spans="1:8">
      <c r="A655" t="s">
        <v>1280</v>
      </c>
      <c r="B655" t="s">
        <v>1179</v>
      </c>
      <c r="C655">
        <v>9605.18</v>
      </c>
      <c r="D655">
        <v>261821.53999999899</v>
      </c>
      <c r="E655">
        <v>3.67</v>
      </c>
      <c r="F655">
        <v>97</v>
      </c>
      <c r="G655">
        <v>1796</v>
      </c>
      <c r="H655">
        <v>5.4</v>
      </c>
    </row>
    <row r="656" spans="1:8">
      <c r="A656" t="s">
        <v>1281</v>
      </c>
      <c r="B656" t="s">
        <v>1064</v>
      </c>
      <c r="C656">
        <v>14342.8199999999</v>
      </c>
      <c r="D656">
        <v>508609.12999999902</v>
      </c>
      <c r="E656">
        <v>2.82</v>
      </c>
      <c r="F656">
        <v>93</v>
      </c>
      <c r="G656">
        <v>3766</v>
      </c>
      <c r="H656">
        <v>2.4700000000000002</v>
      </c>
    </row>
    <row r="657" spans="1:8">
      <c r="A657" t="s">
        <v>1281</v>
      </c>
      <c r="B657" t="s">
        <v>959</v>
      </c>
      <c r="C657">
        <v>47052.129999999903</v>
      </c>
      <c r="D657">
        <v>1803168.25</v>
      </c>
      <c r="E657">
        <v>2.61</v>
      </c>
      <c r="F657">
        <v>307</v>
      </c>
      <c r="G657">
        <v>14468</v>
      </c>
      <c r="H657">
        <v>2.12</v>
      </c>
    </row>
    <row r="658" spans="1:8">
      <c r="A658" t="s">
        <v>1281</v>
      </c>
      <c r="B658" t="s">
        <v>1208</v>
      </c>
      <c r="C658">
        <v>4115.24</v>
      </c>
      <c r="D658">
        <v>175925.19</v>
      </c>
      <c r="E658">
        <v>2.34</v>
      </c>
      <c r="F658">
        <v>27</v>
      </c>
      <c r="G658">
        <v>1067</v>
      </c>
      <c r="H658">
        <v>2.5299999999999998</v>
      </c>
    </row>
    <row r="659" spans="1:8">
      <c r="A659" t="s">
        <v>1281</v>
      </c>
      <c r="B659" t="s">
        <v>920</v>
      </c>
      <c r="C659">
        <v>15914.109999999901</v>
      </c>
      <c r="D659">
        <v>683400.24999999895</v>
      </c>
      <c r="E659">
        <v>2.33</v>
      </c>
      <c r="F659">
        <v>93</v>
      </c>
      <c r="G659">
        <v>5736</v>
      </c>
      <c r="H659">
        <v>1.62</v>
      </c>
    </row>
    <row r="660" spans="1:8">
      <c r="A660" t="s">
        <v>1281</v>
      </c>
      <c r="B660" t="s">
        <v>1027</v>
      </c>
      <c r="C660">
        <v>3370.87</v>
      </c>
      <c r="D660">
        <v>155690.51</v>
      </c>
      <c r="E660">
        <v>2.17</v>
      </c>
      <c r="F660">
        <v>19</v>
      </c>
      <c r="G660">
        <v>1047</v>
      </c>
      <c r="H660">
        <v>1.81</v>
      </c>
    </row>
    <row r="661" spans="1:8">
      <c r="A661" t="s">
        <v>1281</v>
      </c>
      <c r="B661" t="s">
        <v>1128</v>
      </c>
      <c r="C661">
        <v>4716.76</v>
      </c>
      <c r="D661">
        <v>226813.40999999901</v>
      </c>
      <c r="E661">
        <v>2.08</v>
      </c>
      <c r="F661">
        <v>28</v>
      </c>
      <c r="G661">
        <v>1472</v>
      </c>
      <c r="H661">
        <v>1.9</v>
      </c>
    </row>
    <row r="662" spans="1:8">
      <c r="A662" t="s">
        <v>1281</v>
      </c>
      <c r="B662" t="s">
        <v>908</v>
      </c>
      <c r="C662">
        <v>107007.91</v>
      </c>
      <c r="D662">
        <v>5195744.47999998</v>
      </c>
      <c r="E662">
        <v>2.06</v>
      </c>
      <c r="F662">
        <v>660</v>
      </c>
      <c r="G662">
        <v>47399</v>
      </c>
      <c r="H662">
        <v>1.39</v>
      </c>
    </row>
    <row r="663" spans="1:8">
      <c r="A663" t="s">
        <v>1281</v>
      </c>
      <c r="B663" t="s">
        <v>930</v>
      </c>
      <c r="C663">
        <v>10439.129999999999</v>
      </c>
      <c r="D663">
        <v>514179.52999999898</v>
      </c>
      <c r="E663">
        <v>2.0299999999999998</v>
      </c>
      <c r="F663">
        <v>62</v>
      </c>
      <c r="G663">
        <v>4156</v>
      </c>
      <c r="H663">
        <v>1.49</v>
      </c>
    </row>
    <row r="664" spans="1:8">
      <c r="A664" t="s">
        <v>1281</v>
      </c>
      <c r="B664" t="s">
        <v>948</v>
      </c>
      <c r="C664">
        <v>5172.8</v>
      </c>
      <c r="D664">
        <v>263711.51999999897</v>
      </c>
      <c r="E664">
        <v>1.96</v>
      </c>
      <c r="F664">
        <v>30</v>
      </c>
      <c r="G664">
        <v>2237</v>
      </c>
      <c r="H664">
        <v>1.34</v>
      </c>
    </row>
    <row r="665" spans="1:8">
      <c r="A665" t="s">
        <v>1281</v>
      </c>
      <c r="B665" t="s">
        <v>913</v>
      </c>
      <c r="C665">
        <v>27573.269999999899</v>
      </c>
      <c r="D665">
        <v>1577629.1</v>
      </c>
      <c r="E665">
        <v>1.75</v>
      </c>
      <c r="F665">
        <v>164</v>
      </c>
      <c r="G665">
        <v>13110</v>
      </c>
      <c r="H665">
        <v>1.25</v>
      </c>
    </row>
    <row r="666" spans="1:8">
      <c r="A666" t="s">
        <v>1281</v>
      </c>
      <c r="B666" t="s">
        <v>925</v>
      </c>
      <c r="C666">
        <v>10722.5699999999</v>
      </c>
      <c r="D666">
        <v>751552.01999999897</v>
      </c>
      <c r="E666">
        <v>1.43</v>
      </c>
      <c r="F666">
        <v>69</v>
      </c>
      <c r="G666">
        <v>6265</v>
      </c>
      <c r="H666">
        <v>1.1000000000000001</v>
      </c>
    </row>
    <row r="667" spans="1:8">
      <c r="A667" t="s">
        <v>1281</v>
      </c>
      <c r="B667" t="s">
        <v>1179</v>
      </c>
      <c r="C667">
        <v>3519.57</v>
      </c>
      <c r="D667">
        <v>261821.53999999899</v>
      </c>
      <c r="E667">
        <v>1.34</v>
      </c>
      <c r="F667">
        <v>20</v>
      </c>
      <c r="G667">
        <v>1796</v>
      </c>
      <c r="H667">
        <v>1.1100000000000001</v>
      </c>
    </row>
    <row r="668" spans="1:8">
      <c r="A668" t="s">
        <v>1281</v>
      </c>
      <c r="B668" t="s">
        <v>1040</v>
      </c>
      <c r="C668">
        <v>3161.93</v>
      </c>
      <c r="D668">
        <v>293729.82999999903</v>
      </c>
      <c r="E668">
        <v>1.08</v>
      </c>
      <c r="F668">
        <v>22</v>
      </c>
      <c r="G668">
        <v>2316</v>
      </c>
      <c r="H668">
        <v>0.95</v>
      </c>
    </row>
    <row r="669" spans="1:8">
      <c r="A669" t="s">
        <v>1281</v>
      </c>
      <c r="B669" t="s">
        <v>1045</v>
      </c>
      <c r="C669">
        <v>2997.74</v>
      </c>
      <c r="D669">
        <v>303593.40000000002</v>
      </c>
      <c r="E669">
        <v>0.99</v>
      </c>
      <c r="F669">
        <v>19</v>
      </c>
      <c r="G669">
        <v>2416</v>
      </c>
      <c r="H669">
        <v>0.79</v>
      </c>
    </row>
    <row r="670" spans="1:8">
      <c r="A670" t="s">
        <v>1282</v>
      </c>
      <c r="B670" t="s">
        <v>1027</v>
      </c>
      <c r="C670">
        <v>469.8</v>
      </c>
      <c r="D670">
        <v>155690.51</v>
      </c>
      <c r="E670">
        <v>0.3</v>
      </c>
      <c r="F670">
        <v>2</v>
      </c>
      <c r="G670">
        <v>1047</v>
      </c>
      <c r="H670">
        <v>0.19</v>
      </c>
    </row>
    <row r="671" spans="1:8">
      <c r="A671" t="s">
        <v>1282</v>
      </c>
      <c r="B671" t="s">
        <v>959</v>
      </c>
      <c r="C671">
        <v>3577.96</v>
      </c>
      <c r="D671">
        <v>1803168.25</v>
      </c>
      <c r="E671">
        <v>0.2</v>
      </c>
      <c r="F671">
        <v>20</v>
      </c>
      <c r="G671">
        <v>14468</v>
      </c>
      <c r="H671">
        <v>0.14000000000000001</v>
      </c>
    </row>
    <row r="672" spans="1:8">
      <c r="A672" t="s">
        <v>1282</v>
      </c>
      <c r="B672" t="s">
        <v>908</v>
      </c>
      <c r="C672">
        <v>9946.06</v>
      </c>
      <c r="D672">
        <v>5195744.47999998</v>
      </c>
      <c r="E672">
        <v>0.19</v>
      </c>
      <c r="F672">
        <v>52</v>
      </c>
      <c r="G672">
        <v>47399</v>
      </c>
      <c r="H672">
        <v>0.11</v>
      </c>
    </row>
    <row r="673" spans="1:8">
      <c r="A673" t="s">
        <v>1282</v>
      </c>
      <c r="B673" t="s">
        <v>1045</v>
      </c>
      <c r="C673">
        <v>510</v>
      </c>
      <c r="D673">
        <v>303593.40000000002</v>
      </c>
      <c r="E673">
        <v>0.17</v>
      </c>
      <c r="F673">
        <v>1</v>
      </c>
      <c r="G673">
        <v>2416</v>
      </c>
      <c r="H673">
        <v>0.04</v>
      </c>
    </row>
    <row r="674" spans="1:8">
      <c r="A674" t="s">
        <v>1282</v>
      </c>
      <c r="B674" t="s">
        <v>930</v>
      </c>
      <c r="C674">
        <v>803</v>
      </c>
      <c r="D674">
        <v>514179.52999999898</v>
      </c>
      <c r="E674">
        <v>0.16</v>
      </c>
      <c r="F674">
        <v>3</v>
      </c>
      <c r="G674">
        <v>4156</v>
      </c>
      <c r="H674">
        <v>7.0000000000000007E-2</v>
      </c>
    </row>
    <row r="675" spans="1:8">
      <c r="A675" t="s">
        <v>1282</v>
      </c>
      <c r="B675" t="s">
        <v>913</v>
      </c>
      <c r="C675">
        <v>2237.8000000000002</v>
      </c>
      <c r="D675">
        <v>1577629.1</v>
      </c>
      <c r="E675">
        <v>0.14000000000000001</v>
      </c>
      <c r="F675">
        <v>7</v>
      </c>
      <c r="G675">
        <v>13110</v>
      </c>
      <c r="H675">
        <v>0.05</v>
      </c>
    </row>
    <row r="676" spans="1:8">
      <c r="A676" t="s">
        <v>1282</v>
      </c>
      <c r="B676" t="s">
        <v>1064</v>
      </c>
      <c r="C676">
        <v>667</v>
      </c>
      <c r="D676">
        <v>508609.12999999902</v>
      </c>
      <c r="E676">
        <v>0.13</v>
      </c>
      <c r="F676">
        <v>4</v>
      </c>
      <c r="G676">
        <v>3766</v>
      </c>
      <c r="H676">
        <v>0.11</v>
      </c>
    </row>
    <row r="677" spans="1:8">
      <c r="A677" t="s">
        <v>1282</v>
      </c>
      <c r="B677" t="s">
        <v>925</v>
      </c>
      <c r="C677">
        <v>685</v>
      </c>
      <c r="D677">
        <v>751552.01999999897</v>
      </c>
      <c r="E677">
        <v>0.09</v>
      </c>
      <c r="F677">
        <v>3</v>
      </c>
      <c r="G677">
        <v>6265</v>
      </c>
      <c r="H677">
        <v>0.05</v>
      </c>
    </row>
    <row r="678" spans="1:8">
      <c r="A678" t="s">
        <v>1282</v>
      </c>
      <c r="B678" t="s">
        <v>1179</v>
      </c>
      <c r="C678">
        <v>129</v>
      </c>
      <c r="D678">
        <v>261821.53999999899</v>
      </c>
      <c r="E678">
        <v>0.05</v>
      </c>
      <c r="F678">
        <v>1</v>
      </c>
      <c r="G678">
        <v>1796</v>
      </c>
      <c r="H678">
        <v>0.06</v>
      </c>
    </row>
    <row r="679" spans="1:8">
      <c r="A679" t="s">
        <v>1282</v>
      </c>
      <c r="B679" t="s">
        <v>1040</v>
      </c>
      <c r="C679">
        <v>159</v>
      </c>
      <c r="D679">
        <v>293729.82999999903</v>
      </c>
      <c r="E679">
        <v>0.05</v>
      </c>
      <c r="F679">
        <v>1</v>
      </c>
      <c r="G679">
        <v>2316</v>
      </c>
      <c r="H679">
        <v>0.04</v>
      </c>
    </row>
    <row r="680" spans="1:8">
      <c r="A680" t="s">
        <v>1282</v>
      </c>
      <c r="B680" t="s">
        <v>948</v>
      </c>
      <c r="C680">
        <v>99.9</v>
      </c>
      <c r="D680">
        <v>263711.51999999897</v>
      </c>
      <c r="E680">
        <v>0.04</v>
      </c>
      <c r="F680">
        <v>1</v>
      </c>
      <c r="G680">
        <v>2237</v>
      </c>
      <c r="H680">
        <v>0.04</v>
      </c>
    </row>
    <row r="681" spans="1:8">
      <c r="A681" t="s">
        <v>1282</v>
      </c>
      <c r="B681" t="s">
        <v>920</v>
      </c>
      <c r="C681">
        <v>293.27999999999997</v>
      </c>
      <c r="D681">
        <v>683400.24999999895</v>
      </c>
      <c r="E681">
        <v>0.04</v>
      </c>
      <c r="F681">
        <v>9</v>
      </c>
      <c r="G681">
        <v>5736</v>
      </c>
      <c r="H681">
        <v>0.16</v>
      </c>
    </row>
    <row r="682" spans="1:8">
      <c r="A682" t="s">
        <v>1283</v>
      </c>
      <c r="B682" t="s">
        <v>959</v>
      </c>
      <c r="C682">
        <v>17018.3499999999</v>
      </c>
      <c r="D682">
        <v>1803168.25</v>
      </c>
      <c r="E682">
        <v>0.94</v>
      </c>
      <c r="F682">
        <v>117</v>
      </c>
      <c r="G682">
        <v>14468</v>
      </c>
      <c r="H682">
        <v>0.81</v>
      </c>
    </row>
    <row r="683" spans="1:8">
      <c r="A683" t="s">
        <v>1283</v>
      </c>
      <c r="B683" t="s">
        <v>948</v>
      </c>
      <c r="C683">
        <v>1533.01999999999</v>
      </c>
      <c r="D683">
        <v>263711.51999999897</v>
      </c>
      <c r="E683">
        <v>0.57999999999999996</v>
      </c>
      <c r="F683">
        <v>17</v>
      </c>
      <c r="G683">
        <v>2237</v>
      </c>
      <c r="H683">
        <v>0.76</v>
      </c>
    </row>
    <row r="684" spans="1:8">
      <c r="A684" t="s">
        <v>1283</v>
      </c>
      <c r="B684" t="s">
        <v>1064</v>
      </c>
      <c r="C684">
        <v>2494.4299999999998</v>
      </c>
      <c r="D684">
        <v>508609.12999999902</v>
      </c>
      <c r="E684">
        <v>0.49</v>
      </c>
      <c r="F684">
        <v>20</v>
      </c>
      <c r="G684">
        <v>3766</v>
      </c>
      <c r="H684">
        <v>0.53</v>
      </c>
    </row>
    <row r="685" spans="1:8">
      <c r="A685" t="s">
        <v>1283</v>
      </c>
      <c r="B685" t="s">
        <v>925</v>
      </c>
      <c r="C685">
        <v>3582.95</v>
      </c>
      <c r="D685">
        <v>751552.01999999897</v>
      </c>
      <c r="E685">
        <v>0.48</v>
      </c>
      <c r="F685">
        <v>24</v>
      </c>
      <c r="G685">
        <v>6265</v>
      </c>
      <c r="H685">
        <v>0.38</v>
      </c>
    </row>
    <row r="686" spans="1:8">
      <c r="A686" t="s">
        <v>1283</v>
      </c>
      <c r="B686" t="s">
        <v>1040</v>
      </c>
      <c r="C686">
        <v>1381.57</v>
      </c>
      <c r="D686">
        <v>293729.82999999903</v>
      </c>
      <c r="E686">
        <v>0.47</v>
      </c>
      <c r="F686">
        <v>10</v>
      </c>
      <c r="G686">
        <v>2316</v>
      </c>
      <c r="H686">
        <v>0.43</v>
      </c>
    </row>
    <row r="687" spans="1:8">
      <c r="A687" t="s">
        <v>1283</v>
      </c>
      <c r="B687" t="s">
        <v>913</v>
      </c>
      <c r="C687">
        <v>7247.48</v>
      </c>
      <c r="D687">
        <v>1577629.1</v>
      </c>
      <c r="E687">
        <v>0.46</v>
      </c>
      <c r="F687">
        <v>47</v>
      </c>
      <c r="G687">
        <v>13110</v>
      </c>
      <c r="H687">
        <v>0.36</v>
      </c>
    </row>
    <row r="688" spans="1:8">
      <c r="A688" t="s">
        <v>1283</v>
      </c>
      <c r="B688" t="s">
        <v>1045</v>
      </c>
      <c r="C688">
        <v>1405.6599999999901</v>
      </c>
      <c r="D688">
        <v>303593.40000000002</v>
      </c>
      <c r="E688">
        <v>0.46</v>
      </c>
      <c r="F688">
        <v>7</v>
      </c>
      <c r="G688">
        <v>2416</v>
      </c>
      <c r="H688">
        <v>0.28999999999999998</v>
      </c>
    </row>
    <row r="689" spans="1:8">
      <c r="A689" t="s">
        <v>1283</v>
      </c>
      <c r="B689" t="s">
        <v>908</v>
      </c>
      <c r="C689">
        <v>23148.359999999899</v>
      </c>
      <c r="D689">
        <v>5195744.47999998</v>
      </c>
      <c r="E689">
        <v>0.45</v>
      </c>
      <c r="F689">
        <v>200</v>
      </c>
      <c r="G689">
        <v>47399</v>
      </c>
      <c r="H689">
        <v>0.42</v>
      </c>
    </row>
    <row r="690" spans="1:8">
      <c r="A690" t="s">
        <v>1283</v>
      </c>
      <c r="B690" t="s">
        <v>930</v>
      </c>
      <c r="C690">
        <v>2131.37</v>
      </c>
      <c r="D690">
        <v>514179.52999999898</v>
      </c>
      <c r="E690">
        <v>0.41</v>
      </c>
      <c r="F690">
        <v>12</v>
      </c>
      <c r="G690">
        <v>4156</v>
      </c>
      <c r="H690">
        <v>0.28999999999999998</v>
      </c>
    </row>
    <row r="691" spans="1:8">
      <c r="A691" t="s">
        <v>1283</v>
      </c>
      <c r="B691" t="s">
        <v>1027</v>
      </c>
      <c r="C691">
        <v>519.88</v>
      </c>
      <c r="D691">
        <v>155690.51</v>
      </c>
      <c r="E691">
        <v>0.33</v>
      </c>
      <c r="F691">
        <v>3</v>
      </c>
      <c r="G691">
        <v>1047</v>
      </c>
      <c r="H691">
        <v>0.28999999999999998</v>
      </c>
    </row>
    <row r="692" spans="1:8">
      <c r="A692" t="s">
        <v>1283</v>
      </c>
      <c r="B692" t="s">
        <v>920</v>
      </c>
      <c r="C692">
        <v>2052.5100000000002</v>
      </c>
      <c r="D692">
        <v>683400.24999999895</v>
      </c>
      <c r="E692">
        <v>0.3</v>
      </c>
      <c r="F692">
        <v>17</v>
      </c>
      <c r="G692">
        <v>5736</v>
      </c>
      <c r="H692">
        <v>0.3</v>
      </c>
    </row>
    <row r="693" spans="1:8">
      <c r="A693" t="s">
        <v>1283</v>
      </c>
      <c r="B693" t="s">
        <v>1128</v>
      </c>
      <c r="C693">
        <v>602.98</v>
      </c>
      <c r="D693">
        <v>226813.40999999901</v>
      </c>
      <c r="E693">
        <v>0.27</v>
      </c>
      <c r="F693">
        <v>2</v>
      </c>
      <c r="G693">
        <v>1472</v>
      </c>
      <c r="H693">
        <v>0.14000000000000001</v>
      </c>
    </row>
    <row r="694" spans="1:8">
      <c r="A694" t="s">
        <v>1283</v>
      </c>
      <c r="B694" t="s">
        <v>1179</v>
      </c>
      <c r="C694">
        <v>578.79</v>
      </c>
      <c r="D694">
        <v>261821.53999999899</v>
      </c>
      <c r="E694">
        <v>0.22</v>
      </c>
      <c r="F694">
        <v>4</v>
      </c>
      <c r="G694">
        <v>1796</v>
      </c>
      <c r="H694">
        <v>0.22</v>
      </c>
    </row>
    <row r="695" spans="1:8">
      <c r="A695" t="s">
        <v>1283</v>
      </c>
      <c r="B695" t="s">
        <v>1208</v>
      </c>
      <c r="C695">
        <v>179.99</v>
      </c>
      <c r="D695">
        <v>175925.19</v>
      </c>
      <c r="E695">
        <v>0.1</v>
      </c>
      <c r="F695">
        <v>1</v>
      </c>
      <c r="G695">
        <v>1067</v>
      </c>
      <c r="H695">
        <v>0.09</v>
      </c>
    </row>
    <row r="696" spans="1:8">
      <c r="A696" t="s">
        <v>1284</v>
      </c>
      <c r="B696" t="s">
        <v>1040</v>
      </c>
      <c r="C696">
        <v>1165.97</v>
      </c>
      <c r="D696">
        <v>293729.82999999903</v>
      </c>
      <c r="E696">
        <v>0.4</v>
      </c>
      <c r="F696">
        <v>1</v>
      </c>
      <c r="G696">
        <v>2316</v>
      </c>
      <c r="H696">
        <v>0.04</v>
      </c>
    </row>
    <row r="697" spans="1:8">
      <c r="A697" t="s">
        <v>1284</v>
      </c>
      <c r="B697" t="s">
        <v>920</v>
      </c>
      <c r="C697">
        <v>558.6</v>
      </c>
      <c r="D697">
        <v>683400.24999999895</v>
      </c>
      <c r="E697">
        <v>0.08</v>
      </c>
      <c r="F697">
        <v>7</v>
      </c>
      <c r="G697">
        <v>5736</v>
      </c>
      <c r="H697">
        <v>0.12</v>
      </c>
    </row>
    <row r="698" spans="1:8">
      <c r="A698" t="s">
        <v>1284</v>
      </c>
      <c r="B698" t="s">
        <v>1128</v>
      </c>
      <c r="C698">
        <v>149.9</v>
      </c>
      <c r="D698">
        <v>226813.40999999901</v>
      </c>
      <c r="E698">
        <v>7.0000000000000007E-2</v>
      </c>
      <c r="F698">
        <v>1</v>
      </c>
      <c r="G698">
        <v>1472</v>
      </c>
      <c r="H698">
        <v>7.0000000000000007E-2</v>
      </c>
    </row>
    <row r="699" spans="1:8">
      <c r="A699" t="s">
        <v>1284</v>
      </c>
      <c r="B699" t="s">
        <v>959</v>
      </c>
      <c r="C699">
        <v>1017.85</v>
      </c>
      <c r="D699">
        <v>1803168.25</v>
      </c>
      <c r="E699">
        <v>0.06</v>
      </c>
      <c r="F699">
        <v>8</v>
      </c>
      <c r="G699">
        <v>14468</v>
      </c>
      <c r="H699">
        <v>0.06</v>
      </c>
    </row>
    <row r="700" spans="1:8">
      <c r="A700" t="s">
        <v>1284</v>
      </c>
      <c r="B700" t="s">
        <v>913</v>
      </c>
      <c r="C700">
        <v>683.33</v>
      </c>
      <c r="D700">
        <v>1577629.1</v>
      </c>
      <c r="E700">
        <v>0.04</v>
      </c>
      <c r="F700">
        <v>6</v>
      </c>
      <c r="G700">
        <v>13110</v>
      </c>
      <c r="H700">
        <v>0.05</v>
      </c>
    </row>
    <row r="701" spans="1:8">
      <c r="A701" t="s">
        <v>1284</v>
      </c>
      <c r="B701" t="s">
        <v>908</v>
      </c>
      <c r="C701">
        <v>2093.25</v>
      </c>
      <c r="D701">
        <v>5195744.47999998</v>
      </c>
      <c r="E701">
        <v>0.04</v>
      </c>
      <c r="F701">
        <v>12</v>
      </c>
      <c r="G701">
        <v>47399</v>
      </c>
      <c r="H701">
        <v>0.03</v>
      </c>
    </row>
    <row r="702" spans="1:8">
      <c r="A702" t="s">
        <v>1284</v>
      </c>
      <c r="B702" t="s">
        <v>925</v>
      </c>
      <c r="C702">
        <v>299</v>
      </c>
      <c r="D702">
        <v>751552.01999999897</v>
      </c>
      <c r="E702">
        <v>0.04</v>
      </c>
      <c r="F702">
        <v>1</v>
      </c>
      <c r="G702">
        <v>6265</v>
      </c>
      <c r="H702">
        <v>0.02</v>
      </c>
    </row>
    <row r="703" spans="1:8">
      <c r="A703" t="s">
        <v>1284</v>
      </c>
      <c r="B703" t="s">
        <v>1045</v>
      </c>
      <c r="C703">
        <v>50.35</v>
      </c>
      <c r="D703">
        <v>303593.40000000002</v>
      </c>
      <c r="E703">
        <v>0.02</v>
      </c>
      <c r="F703">
        <v>1</v>
      </c>
      <c r="G703">
        <v>2416</v>
      </c>
      <c r="H703">
        <v>0.04</v>
      </c>
    </row>
    <row r="704" spans="1:8">
      <c r="A704" t="s">
        <v>1285</v>
      </c>
      <c r="B704" t="s">
        <v>948</v>
      </c>
      <c r="C704">
        <v>5573.25</v>
      </c>
      <c r="D704">
        <v>263711.51999999897</v>
      </c>
      <c r="E704">
        <v>2.11</v>
      </c>
      <c r="F704">
        <v>52</v>
      </c>
      <c r="G704">
        <v>2237</v>
      </c>
      <c r="H704">
        <v>2.3199999999999998</v>
      </c>
    </row>
    <row r="705" spans="1:8">
      <c r="A705" t="s">
        <v>1285</v>
      </c>
      <c r="B705" t="s">
        <v>1027</v>
      </c>
      <c r="C705">
        <v>3113.16</v>
      </c>
      <c r="D705">
        <v>155690.51</v>
      </c>
      <c r="E705">
        <v>2</v>
      </c>
      <c r="F705">
        <v>28</v>
      </c>
      <c r="G705">
        <v>1047</v>
      </c>
      <c r="H705">
        <v>2.67</v>
      </c>
    </row>
    <row r="706" spans="1:8">
      <c r="A706" t="s">
        <v>1285</v>
      </c>
      <c r="B706" t="s">
        <v>959</v>
      </c>
      <c r="C706">
        <v>33041.619999999901</v>
      </c>
      <c r="D706">
        <v>1803168.25</v>
      </c>
      <c r="E706">
        <v>1.83</v>
      </c>
      <c r="F706">
        <v>330</v>
      </c>
      <c r="G706">
        <v>14468</v>
      </c>
      <c r="H706">
        <v>2.2799999999999998</v>
      </c>
    </row>
    <row r="707" spans="1:8">
      <c r="A707" t="s">
        <v>1285</v>
      </c>
      <c r="B707" t="s">
        <v>908</v>
      </c>
      <c r="C707">
        <v>90145.900000000198</v>
      </c>
      <c r="D707">
        <v>5195744.47999998</v>
      </c>
      <c r="E707">
        <v>1.73</v>
      </c>
      <c r="F707">
        <v>1057</v>
      </c>
      <c r="G707">
        <v>47399</v>
      </c>
      <c r="H707">
        <v>2.23</v>
      </c>
    </row>
    <row r="708" spans="1:8">
      <c r="A708" t="s">
        <v>1285</v>
      </c>
      <c r="B708" t="s">
        <v>930</v>
      </c>
      <c r="C708">
        <v>8877.01</v>
      </c>
      <c r="D708">
        <v>514179.52999999898</v>
      </c>
      <c r="E708">
        <v>1.73</v>
      </c>
      <c r="F708">
        <v>93</v>
      </c>
      <c r="G708">
        <v>4156</v>
      </c>
      <c r="H708">
        <v>2.2400000000000002</v>
      </c>
    </row>
    <row r="709" spans="1:8">
      <c r="A709" t="s">
        <v>1285</v>
      </c>
      <c r="B709" t="s">
        <v>1179</v>
      </c>
      <c r="C709">
        <v>4526.59</v>
      </c>
      <c r="D709">
        <v>261821.53999999899</v>
      </c>
      <c r="E709">
        <v>1.73</v>
      </c>
      <c r="F709">
        <v>48</v>
      </c>
      <c r="G709">
        <v>1796</v>
      </c>
      <c r="H709">
        <v>2.67</v>
      </c>
    </row>
    <row r="710" spans="1:8">
      <c r="A710" t="s">
        <v>1285</v>
      </c>
      <c r="B710" t="s">
        <v>925</v>
      </c>
      <c r="C710">
        <v>12769.01</v>
      </c>
      <c r="D710">
        <v>751552.01999999897</v>
      </c>
      <c r="E710">
        <v>1.7</v>
      </c>
      <c r="F710">
        <v>148</v>
      </c>
      <c r="G710">
        <v>6265</v>
      </c>
      <c r="H710">
        <v>2.36</v>
      </c>
    </row>
    <row r="711" spans="1:8">
      <c r="A711" t="s">
        <v>1285</v>
      </c>
      <c r="B711" t="s">
        <v>920</v>
      </c>
      <c r="C711">
        <v>11231.99</v>
      </c>
      <c r="D711">
        <v>683400.24999999895</v>
      </c>
      <c r="E711">
        <v>1.64</v>
      </c>
      <c r="F711">
        <v>128</v>
      </c>
      <c r="G711">
        <v>5736</v>
      </c>
      <c r="H711">
        <v>2.23</v>
      </c>
    </row>
    <row r="712" spans="1:8">
      <c r="A712" t="s">
        <v>1285</v>
      </c>
      <c r="B712" t="s">
        <v>913</v>
      </c>
      <c r="C712">
        <v>25142.389999999901</v>
      </c>
      <c r="D712">
        <v>1577629.1</v>
      </c>
      <c r="E712">
        <v>1.59</v>
      </c>
      <c r="F712">
        <v>274</v>
      </c>
      <c r="G712">
        <v>13110</v>
      </c>
      <c r="H712">
        <v>2.09</v>
      </c>
    </row>
    <row r="713" spans="1:8">
      <c r="A713" t="s">
        <v>1285</v>
      </c>
      <c r="B713" t="s">
        <v>1045</v>
      </c>
      <c r="C713">
        <v>4764.09</v>
      </c>
      <c r="D713">
        <v>303593.40000000002</v>
      </c>
      <c r="E713">
        <v>1.57</v>
      </c>
      <c r="F713">
        <v>47</v>
      </c>
      <c r="G713">
        <v>2416</v>
      </c>
      <c r="H713">
        <v>1.95</v>
      </c>
    </row>
    <row r="714" spans="1:8">
      <c r="A714" t="s">
        <v>1285</v>
      </c>
      <c r="B714" t="s">
        <v>1040</v>
      </c>
      <c r="C714">
        <v>4579.82</v>
      </c>
      <c r="D714">
        <v>293729.82999999903</v>
      </c>
      <c r="E714">
        <v>1.56</v>
      </c>
      <c r="F714">
        <v>50</v>
      </c>
      <c r="G714">
        <v>2316</v>
      </c>
      <c r="H714">
        <v>2.16</v>
      </c>
    </row>
    <row r="715" spans="1:8">
      <c r="A715" t="s">
        <v>1285</v>
      </c>
      <c r="B715" t="s">
        <v>1064</v>
      </c>
      <c r="C715">
        <v>7355.95</v>
      </c>
      <c r="D715">
        <v>508609.12999999902</v>
      </c>
      <c r="E715">
        <v>1.45</v>
      </c>
      <c r="F715">
        <v>77</v>
      </c>
      <c r="G715">
        <v>3766</v>
      </c>
      <c r="H715">
        <v>2.04</v>
      </c>
    </row>
    <row r="716" spans="1:8">
      <c r="A716" t="s">
        <v>1285</v>
      </c>
      <c r="B716" t="s">
        <v>1208</v>
      </c>
      <c r="C716">
        <v>2416.91</v>
      </c>
      <c r="D716">
        <v>175925.19</v>
      </c>
      <c r="E716">
        <v>1.37</v>
      </c>
      <c r="F716">
        <v>21</v>
      </c>
      <c r="G716">
        <v>1067</v>
      </c>
      <c r="H716">
        <v>1.97</v>
      </c>
    </row>
    <row r="717" spans="1:8">
      <c r="A717" t="s">
        <v>1285</v>
      </c>
      <c r="B717" t="s">
        <v>1128</v>
      </c>
      <c r="C717">
        <v>2915.43</v>
      </c>
      <c r="D717">
        <v>226813.40999999901</v>
      </c>
      <c r="E717">
        <v>1.29</v>
      </c>
      <c r="F717">
        <v>36</v>
      </c>
      <c r="G717">
        <v>1472</v>
      </c>
      <c r="H717">
        <v>2.4500000000000002</v>
      </c>
    </row>
    <row r="718" spans="1:8">
      <c r="A718" t="s">
        <v>1286</v>
      </c>
      <c r="B718" t="s">
        <v>1179</v>
      </c>
      <c r="C718">
        <v>129.99</v>
      </c>
      <c r="D718">
        <v>261821.53999999899</v>
      </c>
      <c r="E718">
        <v>0.05</v>
      </c>
      <c r="F718">
        <v>1</v>
      </c>
      <c r="G718">
        <v>1796</v>
      </c>
      <c r="H718">
        <v>0.06</v>
      </c>
    </row>
    <row r="719" spans="1:8">
      <c r="A719" t="s">
        <v>1286</v>
      </c>
      <c r="B719" t="s">
        <v>925</v>
      </c>
      <c r="C719">
        <v>219</v>
      </c>
      <c r="D719">
        <v>751552.01999999897</v>
      </c>
      <c r="E719">
        <v>0.03</v>
      </c>
      <c r="F719">
        <v>1</v>
      </c>
      <c r="G719">
        <v>6265</v>
      </c>
      <c r="H719">
        <v>0.02</v>
      </c>
    </row>
    <row r="720" spans="1:8">
      <c r="A720" t="s">
        <v>1286</v>
      </c>
      <c r="B720" t="s">
        <v>908</v>
      </c>
      <c r="C720">
        <v>806.99</v>
      </c>
      <c r="D720">
        <v>5195744.47999998</v>
      </c>
      <c r="E720">
        <v>0.02</v>
      </c>
      <c r="F720">
        <v>4</v>
      </c>
      <c r="G720">
        <v>47399</v>
      </c>
      <c r="H720">
        <v>0.01</v>
      </c>
    </row>
    <row r="721" spans="1:8">
      <c r="A721" t="s">
        <v>1286</v>
      </c>
      <c r="B721" t="s">
        <v>913</v>
      </c>
      <c r="C721">
        <v>129.99</v>
      </c>
      <c r="D721">
        <v>1577629.1</v>
      </c>
      <c r="E721">
        <v>0.01</v>
      </c>
      <c r="F721">
        <v>1</v>
      </c>
      <c r="G721">
        <v>13110</v>
      </c>
      <c r="H721">
        <v>0.01</v>
      </c>
    </row>
    <row r="722" spans="1:8">
      <c r="A722" t="s">
        <v>1286</v>
      </c>
      <c r="B722" t="s">
        <v>959</v>
      </c>
      <c r="C722">
        <v>259.98</v>
      </c>
      <c r="D722">
        <v>1803168.25</v>
      </c>
      <c r="E722">
        <v>0.01</v>
      </c>
      <c r="F722">
        <v>2</v>
      </c>
      <c r="G722">
        <v>14468</v>
      </c>
      <c r="H722">
        <v>0.01</v>
      </c>
    </row>
    <row r="723" spans="1:8">
      <c r="A723" t="s">
        <v>1287</v>
      </c>
      <c r="B723" t="s">
        <v>1064</v>
      </c>
      <c r="C723">
        <v>21043.9899999999</v>
      </c>
      <c r="D723">
        <v>508609.12999999902</v>
      </c>
      <c r="E723">
        <v>4.1399999999999997</v>
      </c>
      <c r="F723">
        <v>25</v>
      </c>
      <c r="G723">
        <v>3766</v>
      </c>
      <c r="H723">
        <v>0.66</v>
      </c>
    </row>
    <row r="724" spans="1:8">
      <c r="A724" t="s">
        <v>1287</v>
      </c>
      <c r="B724" t="s">
        <v>1179</v>
      </c>
      <c r="C724">
        <v>9596.9699999999993</v>
      </c>
      <c r="D724">
        <v>261821.53999999899</v>
      </c>
      <c r="E724">
        <v>3.67</v>
      </c>
      <c r="F724">
        <v>10</v>
      </c>
      <c r="G724">
        <v>1796</v>
      </c>
      <c r="H724">
        <v>0.56000000000000005</v>
      </c>
    </row>
    <row r="725" spans="1:8">
      <c r="A725" t="s">
        <v>1287</v>
      </c>
      <c r="B725" t="s">
        <v>1045</v>
      </c>
      <c r="C725">
        <v>10786.99</v>
      </c>
      <c r="D725">
        <v>303593.40000000002</v>
      </c>
      <c r="E725">
        <v>3.55</v>
      </c>
      <c r="F725">
        <v>7</v>
      </c>
      <c r="G725">
        <v>2416</v>
      </c>
      <c r="H725">
        <v>0.28999999999999998</v>
      </c>
    </row>
    <row r="726" spans="1:8">
      <c r="A726" t="s">
        <v>1287</v>
      </c>
      <c r="B726" t="s">
        <v>1128</v>
      </c>
      <c r="C726">
        <v>7096.79</v>
      </c>
      <c r="D726">
        <v>226813.40999999901</v>
      </c>
      <c r="E726">
        <v>3.13</v>
      </c>
      <c r="F726">
        <v>6</v>
      </c>
      <c r="G726">
        <v>1472</v>
      </c>
      <c r="H726">
        <v>0.41</v>
      </c>
    </row>
    <row r="727" spans="1:8">
      <c r="A727" t="s">
        <v>1287</v>
      </c>
      <c r="B727" t="s">
        <v>1208</v>
      </c>
      <c r="C727">
        <v>3319</v>
      </c>
      <c r="D727">
        <v>175925.19</v>
      </c>
      <c r="E727">
        <v>1.89</v>
      </c>
      <c r="F727">
        <v>4</v>
      </c>
      <c r="G727">
        <v>1067</v>
      </c>
      <c r="H727">
        <v>0.37</v>
      </c>
    </row>
    <row r="728" spans="1:8">
      <c r="A728" t="s">
        <v>1287</v>
      </c>
      <c r="B728" t="s">
        <v>1027</v>
      </c>
      <c r="C728">
        <v>2889.99</v>
      </c>
      <c r="D728">
        <v>155690.51</v>
      </c>
      <c r="E728">
        <v>1.86</v>
      </c>
      <c r="F728">
        <v>2</v>
      </c>
      <c r="G728">
        <v>1047</v>
      </c>
      <c r="H728">
        <v>0.19</v>
      </c>
    </row>
    <row r="729" spans="1:8">
      <c r="A729" t="s">
        <v>1287</v>
      </c>
      <c r="B729" t="s">
        <v>913</v>
      </c>
      <c r="C729">
        <v>20973</v>
      </c>
      <c r="D729">
        <v>1577629.1</v>
      </c>
      <c r="E729">
        <v>1.33</v>
      </c>
      <c r="F729">
        <v>19</v>
      </c>
      <c r="G729">
        <v>13110</v>
      </c>
      <c r="H729">
        <v>0.14000000000000001</v>
      </c>
    </row>
    <row r="730" spans="1:8">
      <c r="A730" t="s">
        <v>1287</v>
      </c>
      <c r="B730" t="s">
        <v>1040</v>
      </c>
      <c r="C730">
        <v>3559.97</v>
      </c>
      <c r="D730">
        <v>293729.82999999903</v>
      </c>
      <c r="E730">
        <v>1.21</v>
      </c>
      <c r="F730">
        <v>5</v>
      </c>
      <c r="G730">
        <v>2316</v>
      </c>
      <c r="H730">
        <v>0.22</v>
      </c>
    </row>
    <row r="731" spans="1:8">
      <c r="A731" t="s">
        <v>1287</v>
      </c>
      <c r="B731" t="s">
        <v>959</v>
      </c>
      <c r="C731">
        <v>21823.449999999899</v>
      </c>
      <c r="D731">
        <v>1803168.25</v>
      </c>
      <c r="E731">
        <v>1.21</v>
      </c>
      <c r="F731">
        <v>22</v>
      </c>
      <c r="G731">
        <v>14468</v>
      </c>
      <c r="H731">
        <v>0.15</v>
      </c>
    </row>
    <row r="732" spans="1:8">
      <c r="A732" t="s">
        <v>1287</v>
      </c>
      <c r="B732" t="s">
        <v>908</v>
      </c>
      <c r="C732">
        <v>61993.27</v>
      </c>
      <c r="D732">
        <v>5195744.47999998</v>
      </c>
      <c r="E732">
        <v>1.19</v>
      </c>
      <c r="F732">
        <v>59</v>
      </c>
      <c r="G732">
        <v>47399</v>
      </c>
      <c r="H732">
        <v>0.12</v>
      </c>
    </row>
    <row r="733" spans="1:8">
      <c r="A733" t="s">
        <v>1287</v>
      </c>
      <c r="B733" t="s">
        <v>930</v>
      </c>
      <c r="C733">
        <v>6069.98</v>
      </c>
      <c r="D733">
        <v>514179.52999999898</v>
      </c>
      <c r="E733">
        <v>1.18</v>
      </c>
      <c r="F733">
        <v>5</v>
      </c>
      <c r="G733">
        <v>4156</v>
      </c>
      <c r="H733">
        <v>0.12</v>
      </c>
    </row>
    <row r="734" spans="1:8">
      <c r="A734" t="s">
        <v>1287</v>
      </c>
      <c r="B734" t="s">
        <v>925</v>
      </c>
      <c r="C734">
        <v>7947.8899999999903</v>
      </c>
      <c r="D734">
        <v>751552.01999999897</v>
      </c>
      <c r="E734">
        <v>1.06</v>
      </c>
      <c r="F734">
        <v>7</v>
      </c>
      <c r="G734">
        <v>6265</v>
      </c>
      <c r="H734">
        <v>0.11</v>
      </c>
    </row>
    <row r="735" spans="1:8">
      <c r="A735" t="s">
        <v>1287</v>
      </c>
      <c r="B735" t="s">
        <v>920</v>
      </c>
      <c r="C735">
        <v>6676.98</v>
      </c>
      <c r="D735">
        <v>683400.24999999895</v>
      </c>
      <c r="E735">
        <v>0.98</v>
      </c>
      <c r="F735">
        <v>4</v>
      </c>
      <c r="G735">
        <v>5736</v>
      </c>
      <c r="H735">
        <v>7.0000000000000007E-2</v>
      </c>
    </row>
    <row r="736" spans="1:8">
      <c r="A736" t="s">
        <v>1287</v>
      </c>
      <c r="B736" t="s">
        <v>948</v>
      </c>
      <c r="C736">
        <v>1329</v>
      </c>
      <c r="D736">
        <v>263711.51999999897</v>
      </c>
      <c r="E736">
        <v>0.5</v>
      </c>
      <c r="F736">
        <v>2</v>
      </c>
      <c r="G736">
        <v>2237</v>
      </c>
      <c r="H736">
        <v>0.09</v>
      </c>
    </row>
    <row r="737" spans="1:8">
      <c r="A737" t="s">
        <v>1288</v>
      </c>
      <c r="B737" t="s">
        <v>1128</v>
      </c>
      <c r="C737">
        <v>8747.73</v>
      </c>
      <c r="D737">
        <v>226813.40999999901</v>
      </c>
      <c r="E737">
        <v>3.86</v>
      </c>
      <c r="F737">
        <v>57</v>
      </c>
      <c r="G737">
        <v>1472</v>
      </c>
      <c r="H737">
        <v>3.87</v>
      </c>
    </row>
    <row r="738" spans="1:8">
      <c r="A738" t="s">
        <v>1288</v>
      </c>
      <c r="B738" t="s">
        <v>1040</v>
      </c>
      <c r="C738">
        <v>10291.58</v>
      </c>
      <c r="D738">
        <v>293729.82999999903</v>
      </c>
      <c r="E738">
        <v>3.5</v>
      </c>
      <c r="F738">
        <v>93</v>
      </c>
      <c r="G738">
        <v>2316</v>
      </c>
      <c r="H738">
        <v>4.0199999999999996</v>
      </c>
    </row>
    <row r="739" spans="1:8">
      <c r="A739" t="s">
        <v>1288</v>
      </c>
      <c r="B739" t="s">
        <v>1045</v>
      </c>
      <c r="C739">
        <v>10005.029999999901</v>
      </c>
      <c r="D739">
        <v>303593.40000000002</v>
      </c>
      <c r="E739">
        <v>3.3</v>
      </c>
      <c r="F739">
        <v>89</v>
      </c>
      <c r="G739">
        <v>2416</v>
      </c>
      <c r="H739">
        <v>3.68</v>
      </c>
    </row>
    <row r="740" spans="1:8">
      <c r="A740" t="s">
        <v>1288</v>
      </c>
      <c r="B740" t="s">
        <v>908</v>
      </c>
      <c r="C740">
        <v>166790.32999999999</v>
      </c>
      <c r="D740">
        <v>5195744.47999998</v>
      </c>
      <c r="E740">
        <v>3.21</v>
      </c>
      <c r="F740">
        <v>1481</v>
      </c>
      <c r="G740">
        <v>47399</v>
      </c>
      <c r="H740">
        <v>3.12</v>
      </c>
    </row>
    <row r="741" spans="1:8">
      <c r="A741" t="s">
        <v>1288</v>
      </c>
      <c r="B741" t="s">
        <v>913</v>
      </c>
      <c r="C741">
        <v>48733.989999999903</v>
      </c>
      <c r="D741">
        <v>1577629.1</v>
      </c>
      <c r="E741">
        <v>3.09</v>
      </c>
      <c r="F741">
        <v>407</v>
      </c>
      <c r="G741">
        <v>13110</v>
      </c>
      <c r="H741">
        <v>3.1</v>
      </c>
    </row>
    <row r="742" spans="1:8">
      <c r="A742" t="s">
        <v>1288</v>
      </c>
      <c r="B742" t="s">
        <v>959</v>
      </c>
      <c r="C742">
        <v>53755.2599999999</v>
      </c>
      <c r="D742">
        <v>1803168.25</v>
      </c>
      <c r="E742">
        <v>2.98</v>
      </c>
      <c r="F742">
        <v>449</v>
      </c>
      <c r="G742">
        <v>14468</v>
      </c>
      <c r="H742">
        <v>3.1</v>
      </c>
    </row>
    <row r="743" spans="1:8">
      <c r="A743" t="s">
        <v>1288</v>
      </c>
      <c r="B743" t="s">
        <v>925</v>
      </c>
      <c r="C743">
        <v>20547.2399999999</v>
      </c>
      <c r="D743">
        <v>751552.01999999897</v>
      </c>
      <c r="E743">
        <v>2.73</v>
      </c>
      <c r="F743">
        <v>154</v>
      </c>
      <c r="G743">
        <v>6265</v>
      </c>
      <c r="H743">
        <v>2.46</v>
      </c>
    </row>
    <row r="744" spans="1:8">
      <c r="A744" t="s">
        <v>1288</v>
      </c>
      <c r="B744" t="s">
        <v>930</v>
      </c>
      <c r="C744">
        <v>13832.4399999999</v>
      </c>
      <c r="D744">
        <v>514179.52999999898</v>
      </c>
      <c r="E744">
        <v>2.69</v>
      </c>
      <c r="F744">
        <v>118</v>
      </c>
      <c r="G744">
        <v>4156</v>
      </c>
      <c r="H744">
        <v>2.84</v>
      </c>
    </row>
    <row r="745" spans="1:8">
      <c r="A745" t="s">
        <v>1288</v>
      </c>
      <c r="B745" t="s">
        <v>1208</v>
      </c>
      <c r="C745">
        <v>4594.26</v>
      </c>
      <c r="D745">
        <v>175925.19</v>
      </c>
      <c r="E745">
        <v>2.61</v>
      </c>
      <c r="F745">
        <v>37</v>
      </c>
      <c r="G745">
        <v>1067</v>
      </c>
      <c r="H745">
        <v>3.47</v>
      </c>
    </row>
    <row r="746" spans="1:8">
      <c r="A746" t="s">
        <v>1288</v>
      </c>
      <c r="B746" t="s">
        <v>948</v>
      </c>
      <c r="C746">
        <v>6577.55</v>
      </c>
      <c r="D746">
        <v>263711.51999999897</v>
      </c>
      <c r="E746">
        <v>2.4900000000000002</v>
      </c>
      <c r="F746">
        <v>68</v>
      </c>
      <c r="G746">
        <v>2237</v>
      </c>
      <c r="H746">
        <v>3.04</v>
      </c>
    </row>
    <row r="747" spans="1:8">
      <c r="A747" t="s">
        <v>1288</v>
      </c>
      <c r="B747" t="s">
        <v>1179</v>
      </c>
      <c r="C747">
        <v>6521.82</v>
      </c>
      <c r="D747">
        <v>261821.53999999899</v>
      </c>
      <c r="E747">
        <v>2.4900000000000002</v>
      </c>
      <c r="F747">
        <v>50</v>
      </c>
      <c r="G747">
        <v>1796</v>
      </c>
      <c r="H747">
        <v>2.78</v>
      </c>
    </row>
    <row r="748" spans="1:8">
      <c r="A748" t="s">
        <v>1288</v>
      </c>
      <c r="B748" t="s">
        <v>920</v>
      </c>
      <c r="C748">
        <v>15833.3199999999</v>
      </c>
      <c r="D748">
        <v>683400.24999999895</v>
      </c>
      <c r="E748">
        <v>2.3199999999999998</v>
      </c>
      <c r="F748">
        <v>153</v>
      </c>
      <c r="G748">
        <v>5736</v>
      </c>
      <c r="H748">
        <v>2.67</v>
      </c>
    </row>
    <row r="749" spans="1:8">
      <c r="A749" t="s">
        <v>1288</v>
      </c>
      <c r="B749" t="s">
        <v>1064</v>
      </c>
      <c r="C749">
        <v>9723.01</v>
      </c>
      <c r="D749">
        <v>508609.12999999902</v>
      </c>
      <c r="E749">
        <v>1.91</v>
      </c>
      <c r="F749">
        <v>81</v>
      </c>
      <c r="G749">
        <v>3766</v>
      </c>
      <c r="H749">
        <v>2.15</v>
      </c>
    </row>
    <row r="750" spans="1:8">
      <c r="A750" t="s">
        <v>1288</v>
      </c>
      <c r="B750" t="s">
        <v>1027</v>
      </c>
      <c r="C750">
        <v>2837.13</v>
      </c>
      <c r="D750">
        <v>155690.51</v>
      </c>
      <c r="E750">
        <v>1.82</v>
      </c>
      <c r="F750">
        <v>30</v>
      </c>
      <c r="G750">
        <v>1047</v>
      </c>
      <c r="H750">
        <v>2.87</v>
      </c>
    </row>
    <row r="751" spans="1:8">
      <c r="A751" t="s">
        <v>1289</v>
      </c>
      <c r="B751" t="s">
        <v>913</v>
      </c>
      <c r="C751">
        <v>32263.339999999898</v>
      </c>
      <c r="D751">
        <v>1577629.1</v>
      </c>
      <c r="E751">
        <v>2.0499999999999998</v>
      </c>
      <c r="F751">
        <v>252</v>
      </c>
      <c r="G751">
        <v>13110</v>
      </c>
      <c r="H751">
        <v>1.92</v>
      </c>
    </row>
    <row r="752" spans="1:8">
      <c r="A752" t="s">
        <v>1289</v>
      </c>
      <c r="B752" t="s">
        <v>1027</v>
      </c>
      <c r="C752">
        <v>2936.2</v>
      </c>
      <c r="D752">
        <v>155690.51</v>
      </c>
      <c r="E752">
        <v>1.89</v>
      </c>
      <c r="F752">
        <v>16</v>
      </c>
      <c r="G752">
        <v>1047</v>
      </c>
      <c r="H752">
        <v>1.53</v>
      </c>
    </row>
    <row r="753" spans="1:8">
      <c r="A753" t="s">
        <v>1289</v>
      </c>
      <c r="B753" t="s">
        <v>930</v>
      </c>
      <c r="C753">
        <v>9018</v>
      </c>
      <c r="D753">
        <v>514179.52999999898</v>
      </c>
      <c r="E753">
        <v>1.75</v>
      </c>
      <c r="F753">
        <v>85</v>
      </c>
      <c r="G753">
        <v>4156</v>
      </c>
      <c r="H753">
        <v>2.0499999999999998</v>
      </c>
    </row>
    <row r="754" spans="1:8">
      <c r="A754" t="s">
        <v>1289</v>
      </c>
      <c r="B754" t="s">
        <v>908</v>
      </c>
      <c r="C754">
        <v>88602.450000000201</v>
      </c>
      <c r="D754">
        <v>5195744.47999998</v>
      </c>
      <c r="E754">
        <v>1.71</v>
      </c>
      <c r="F754">
        <v>891</v>
      </c>
      <c r="G754">
        <v>47399</v>
      </c>
      <c r="H754">
        <v>1.88</v>
      </c>
    </row>
    <row r="755" spans="1:8">
      <c r="A755" t="s">
        <v>1289</v>
      </c>
      <c r="B755" t="s">
        <v>1045</v>
      </c>
      <c r="C755">
        <v>5037.71</v>
      </c>
      <c r="D755">
        <v>303593.40000000002</v>
      </c>
      <c r="E755">
        <v>1.66</v>
      </c>
      <c r="F755">
        <v>40</v>
      </c>
      <c r="G755">
        <v>2416</v>
      </c>
      <c r="H755">
        <v>1.66</v>
      </c>
    </row>
    <row r="756" spans="1:8">
      <c r="A756" t="s">
        <v>1289</v>
      </c>
      <c r="B756" t="s">
        <v>1040</v>
      </c>
      <c r="C756">
        <v>4692.63</v>
      </c>
      <c r="D756">
        <v>293729.82999999903</v>
      </c>
      <c r="E756">
        <v>1.6</v>
      </c>
      <c r="F756">
        <v>28</v>
      </c>
      <c r="G756">
        <v>2316</v>
      </c>
      <c r="H756">
        <v>1.21</v>
      </c>
    </row>
    <row r="757" spans="1:8">
      <c r="A757" t="s">
        <v>1289</v>
      </c>
      <c r="B757" t="s">
        <v>925</v>
      </c>
      <c r="C757">
        <v>11045.61</v>
      </c>
      <c r="D757">
        <v>751552.01999999897</v>
      </c>
      <c r="E757">
        <v>1.47</v>
      </c>
      <c r="F757">
        <v>99</v>
      </c>
      <c r="G757">
        <v>6265</v>
      </c>
      <c r="H757">
        <v>1.58</v>
      </c>
    </row>
    <row r="758" spans="1:8">
      <c r="A758" t="s">
        <v>1289</v>
      </c>
      <c r="B758" t="s">
        <v>959</v>
      </c>
      <c r="C758">
        <v>25657.619999999901</v>
      </c>
      <c r="D758">
        <v>1803168.25</v>
      </c>
      <c r="E758">
        <v>1.42</v>
      </c>
      <c r="F758">
        <v>217</v>
      </c>
      <c r="G758">
        <v>14468</v>
      </c>
      <c r="H758">
        <v>1.5</v>
      </c>
    </row>
    <row r="759" spans="1:8">
      <c r="A759" t="s">
        <v>1289</v>
      </c>
      <c r="B759" t="s">
        <v>920</v>
      </c>
      <c r="C759">
        <v>8456.64</v>
      </c>
      <c r="D759">
        <v>683400.24999999895</v>
      </c>
      <c r="E759">
        <v>1.24</v>
      </c>
      <c r="F759">
        <v>91</v>
      </c>
      <c r="G759">
        <v>5736</v>
      </c>
      <c r="H759">
        <v>1.59</v>
      </c>
    </row>
    <row r="760" spans="1:8">
      <c r="A760" t="s">
        <v>1289</v>
      </c>
      <c r="B760" t="s">
        <v>1208</v>
      </c>
      <c r="C760">
        <v>1979.8799999999901</v>
      </c>
      <c r="D760">
        <v>175925.19</v>
      </c>
      <c r="E760">
        <v>1.1299999999999999</v>
      </c>
      <c r="F760">
        <v>11</v>
      </c>
      <c r="G760">
        <v>1067</v>
      </c>
      <c r="H760">
        <v>1.03</v>
      </c>
    </row>
    <row r="761" spans="1:8">
      <c r="A761" t="s">
        <v>1289</v>
      </c>
      <c r="B761" t="s">
        <v>1064</v>
      </c>
      <c r="C761">
        <v>5643.78</v>
      </c>
      <c r="D761">
        <v>508609.12999999902</v>
      </c>
      <c r="E761">
        <v>1.1100000000000001</v>
      </c>
      <c r="F761">
        <v>60</v>
      </c>
      <c r="G761">
        <v>3766</v>
      </c>
      <c r="H761">
        <v>1.59</v>
      </c>
    </row>
    <row r="762" spans="1:8">
      <c r="A762" t="s">
        <v>1289</v>
      </c>
      <c r="B762" t="s">
        <v>1179</v>
      </c>
      <c r="C762">
        <v>2864.7799999999902</v>
      </c>
      <c r="D762">
        <v>261821.53999999899</v>
      </c>
      <c r="E762">
        <v>1.0900000000000001</v>
      </c>
      <c r="F762">
        <v>23</v>
      </c>
      <c r="G762">
        <v>1796</v>
      </c>
      <c r="H762">
        <v>1.28</v>
      </c>
    </row>
    <row r="763" spans="1:8">
      <c r="A763" t="s">
        <v>1289</v>
      </c>
      <c r="B763" t="s">
        <v>948</v>
      </c>
      <c r="C763">
        <v>2171.08</v>
      </c>
      <c r="D763">
        <v>263711.51999999897</v>
      </c>
      <c r="E763">
        <v>0.82</v>
      </c>
      <c r="F763">
        <v>26</v>
      </c>
      <c r="G763">
        <v>2237</v>
      </c>
      <c r="H763">
        <v>1.1599999999999999</v>
      </c>
    </row>
    <row r="764" spans="1:8">
      <c r="A764" t="s">
        <v>1289</v>
      </c>
      <c r="B764" t="s">
        <v>1128</v>
      </c>
      <c r="C764">
        <v>1141.04</v>
      </c>
      <c r="D764">
        <v>226813.40999999901</v>
      </c>
      <c r="E764">
        <v>0.5</v>
      </c>
      <c r="F764">
        <v>13</v>
      </c>
      <c r="G764">
        <v>1472</v>
      </c>
      <c r="H764">
        <v>0.88</v>
      </c>
    </row>
    <row r="765" spans="1:8">
      <c r="A765" t="s">
        <v>1290</v>
      </c>
      <c r="B765" t="s">
        <v>920</v>
      </c>
      <c r="C765">
        <v>8590</v>
      </c>
      <c r="D765">
        <v>683400.24999999895</v>
      </c>
      <c r="E765">
        <v>1.26</v>
      </c>
      <c r="F765">
        <v>8</v>
      </c>
      <c r="G765">
        <v>5736</v>
      </c>
      <c r="H765">
        <v>0.14000000000000001</v>
      </c>
    </row>
    <row r="766" spans="1:8">
      <c r="A766" t="s">
        <v>1290</v>
      </c>
      <c r="B766" t="s">
        <v>930</v>
      </c>
      <c r="C766">
        <v>4754.8999999999996</v>
      </c>
      <c r="D766">
        <v>514179.52999999898</v>
      </c>
      <c r="E766">
        <v>0.92</v>
      </c>
      <c r="F766">
        <v>4</v>
      </c>
      <c r="G766">
        <v>4156</v>
      </c>
      <c r="H766">
        <v>0.1</v>
      </c>
    </row>
    <row r="767" spans="1:8">
      <c r="A767" t="s">
        <v>1290</v>
      </c>
      <c r="B767" t="s">
        <v>1027</v>
      </c>
      <c r="C767">
        <v>750</v>
      </c>
      <c r="D767">
        <v>155690.51</v>
      </c>
      <c r="E767">
        <v>0.48</v>
      </c>
      <c r="F767">
        <v>1</v>
      </c>
      <c r="G767">
        <v>1047</v>
      </c>
      <c r="H767">
        <v>0.1</v>
      </c>
    </row>
    <row r="768" spans="1:8">
      <c r="A768" t="s">
        <v>1290</v>
      </c>
      <c r="B768" t="s">
        <v>908</v>
      </c>
      <c r="C768">
        <v>16562.55</v>
      </c>
      <c r="D768">
        <v>5195744.47999998</v>
      </c>
      <c r="E768">
        <v>0.32</v>
      </c>
      <c r="F768">
        <v>35</v>
      </c>
      <c r="G768">
        <v>47399</v>
      </c>
      <c r="H768">
        <v>7.0000000000000007E-2</v>
      </c>
    </row>
    <row r="769" spans="1:8">
      <c r="A769" t="s">
        <v>1290</v>
      </c>
      <c r="B769" t="s">
        <v>1064</v>
      </c>
      <c r="C769">
        <v>1574.9</v>
      </c>
      <c r="D769">
        <v>508609.12999999902</v>
      </c>
      <c r="E769">
        <v>0.31</v>
      </c>
      <c r="F769">
        <v>3</v>
      </c>
      <c r="G769">
        <v>3766</v>
      </c>
      <c r="H769">
        <v>0.08</v>
      </c>
    </row>
    <row r="770" spans="1:8">
      <c r="A770" t="s">
        <v>1290</v>
      </c>
      <c r="B770" t="s">
        <v>913</v>
      </c>
      <c r="C770">
        <v>4668.38</v>
      </c>
      <c r="D770">
        <v>1577629.1</v>
      </c>
      <c r="E770">
        <v>0.3</v>
      </c>
      <c r="F770">
        <v>10</v>
      </c>
      <c r="G770">
        <v>13110</v>
      </c>
      <c r="H770">
        <v>0.08</v>
      </c>
    </row>
    <row r="771" spans="1:8">
      <c r="A771" t="s">
        <v>1290</v>
      </c>
      <c r="B771" t="s">
        <v>1045</v>
      </c>
      <c r="C771">
        <v>750</v>
      </c>
      <c r="D771">
        <v>303593.40000000002</v>
      </c>
      <c r="E771">
        <v>0.25</v>
      </c>
      <c r="F771">
        <v>1</v>
      </c>
      <c r="G771">
        <v>2416</v>
      </c>
      <c r="H771">
        <v>0.04</v>
      </c>
    </row>
    <row r="772" spans="1:8">
      <c r="A772" t="s">
        <v>1290</v>
      </c>
      <c r="B772" t="s">
        <v>1179</v>
      </c>
      <c r="C772">
        <v>640.99</v>
      </c>
      <c r="D772">
        <v>261821.53999999899</v>
      </c>
      <c r="E772">
        <v>0.24</v>
      </c>
      <c r="F772">
        <v>1</v>
      </c>
      <c r="G772">
        <v>1796</v>
      </c>
      <c r="H772">
        <v>0.06</v>
      </c>
    </row>
    <row r="773" spans="1:8">
      <c r="A773" t="s">
        <v>1290</v>
      </c>
      <c r="B773" t="s">
        <v>959</v>
      </c>
      <c r="C773">
        <v>3911.09</v>
      </c>
      <c r="D773">
        <v>1803168.25</v>
      </c>
      <c r="E773">
        <v>0.22</v>
      </c>
      <c r="F773">
        <v>7</v>
      </c>
      <c r="G773">
        <v>14468</v>
      </c>
      <c r="H773">
        <v>0.05</v>
      </c>
    </row>
    <row r="774" spans="1:8">
      <c r="A774" t="s">
        <v>1290</v>
      </c>
      <c r="B774" t="s">
        <v>925</v>
      </c>
      <c r="C774">
        <v>494.9</v>
      </c>
      <c r="D774">
        <v>751552.01999999897</v>
      </c>
      <c r="E774">
        <v>7.0000000000000007E-2</v>
      </c>
      <c r="F774">
        <v>3</v>
      </c>
      <c r="G774">
        <v>6265</v>
      </c>
      <c r="H774">
        <v>0.05</v>
      </c>
    </row>
    <row r="775" spans="1:8">
      <c r="A775" t="s">
        <v>1291</v>
      </c>
      <c r="B775" t="s">
        <v>1208</v>
      </c>
      <c r="C775">
        <v>979</v>
      </c>
      <c r="D775">
        <v>175925.19</v>
      </c>
      <c r="E775">
        <v>0.56000000000000005</v>
      </c>
      <c r="F775">
        <v>1</v>
      </c>
      <c r="G775">
        <v>1067</v>
      </c>
      <c r="H775">
        <v>0.09</v>
      </c>
    </row>
    <row r="776" spans="1:8">
      <c r="A776" t="s">
        <v>1291</v>
      </c>
      <c r="B776" t="s">
        <v>925</v>
      </c>
      <c r="C776">
        <v>979</v>
      </c>
      <c r="D776">
        <v>751552.01999999897</v>
      </c>
      <c r="E776">
        <v>0.13</v>
      </c>
      <c r="F776">
        <v>1</v>
      </c>
      <c r="G776">
        <v>6265</v>
      </c>
      <c r="H776">
        <v>0.02</v>
      </c>
    </row>
    <row r="777" spans="1:8">
      <c r="A777" t="s">
        <v>1291</v>
      </c>
      <c r="B777" t="s">
        <v>913</v>
      </c>
      <c r="C777">
        <v>1133.9000000000001</v>
      </c>
      <c r="D777">
        <v>1577629.1</v>
      </c>
      <c r="E777">
        <v>7.0000000000000007E-2</v>
      </c>
      <c r="F777">
        <v>2</v>
      </c>
      <c r="G777">
        <v>13110</v>
      </c>
      <c r="H777">
        <v>0.02</v>
      </c>
    </row>
    <row r="778" spans="1:8">
      <c r="A778" t="s">
        <v>1291</v>
      </c>
      <c r="B778" t="s">
        <v>908</v>
      </c>
      <c r="C778">
        <v>736.31</v>
      </c>
      <c r="D778">
        <v>5195744.47999998</v>
      </c>
      <c r="E778">
        <v>0.01</v>
      </c>
      <c r="F778">
        <v>8</v>
      </c>
      <c r="G778">
        <v>47399</v>
      </c>
      <c r="H778">
        <v>0.02</v>
      </c>
    </row>
    <row r="779" spans="1:8">
      <c r="A779" t="s">
        <v>1291</v>
      </c>
      <c r="B779" t="s">
        <v>1040</v>
      </c>
      <c r="C779">
        <v>34.9</v>
      </c>
      <c r="D779">
        <v>293729.82999999903</v>
      </c>
      <c r="E779">
        <v>0.01</v>
      </c>
      <c r="F779">
        <v>1</v>
      </c>
      <c r="G779">
        <v>2316</v>
      </c>
      <c r="H779">
        <v>0.04</v>
      </c>
    </row>
    <row r="780" spans="1:8">
      <c r="A780" t="s">
        <v>1291</v>
      </c>
      <c r="B780" t="s">
        <v>959</v>
      </c>
      <c r="C780">
        <v>83.9</v>
      </c>
      <c r="D780">
        <v>1803168.25</v>
      </c>
      <c r="E780">
        <v>0</v>
      </c>
      <c r="F780">
        <v>1</v>
      </c>
      <c r="G780">
        <v>14468</v>
      </c>
      <c r="H780">
        <v>0.01</v>
      </c>
    </row>
    <row r="781" spans="1:8">
      <c r="A781" t="s">
        <v>1291</v>
      </c>
      <c r="B781" t="s">
        <v>1064</v>
      </c>
      <c r="C781">
        <v>21.52</v>
      </c>
      <c r="D781">
        <v>508609.12999999902</v>
      </c>
      <c r="E781">
        <v>0</v>
      </c>
      <c r="F781">
        <v>1</v>
      </c>
      <c r="G781">
        <v>3766</v>
      </c>
      <c r="H781">
        <v>0.03</v>
      </c>
    </row>
    <row r="782" spans="1:8">
      <c r="A782" t="s">
        <v>1292</v>
      </c>
      <c r="B782" t="s">
        <v>1128</v>
      </c>
      <c r="C782">
        <v>29061.2399999999</v>
      </c>
      <c r="D782">
        <v>226813.40999999901</v>
      </c>
      <c r="E782">
        <v>12.81</v>
      </c>
      <c r="F782">
        <v>134</v>
      </c>
      <c r="G782">
        <v>1472</v>
      </c>
      <c r="H782">
        <v>9.1</v>
      </c>
    </row>
    <row r="783" spans="1:8">
      <c r="A783" t="s">
        <v>1292</v>
      </c>
      <c r="B783" t="s">
        <v>1208</v>
      </c>
      <c r="C783">
        <v>22517.81</v>
      </c>
      <c r="D783">
        <v>175925.19</v>
      </c>
      <c r="E783">
        <v>12.8</v>
      </c>
      <c r="F783">
        <v>76</v>
      </c>
      <c r="G783">
        <v>1067</v>
      </c>
      <c r="H783">
        <v>7.12</v>
      </c>
    </row>
    <row r="784" spans="1:8">
      <c r="A784" t="s">
        <v>1292</v>
      </c>
      <c r="B784" t="s">
        <v>1179</v>
      </c>
      <c r="C784">
        <v>31049.779999999901</v>
      </c>
      <c r="D784">
        <v>261821.53999999899</v>
      </c>
      <c r="E784">
        <v>11.86</v>
      </c>
      <c r="F784">
        <v>165</v>
      </c>
      <c r="G784">
        <v>1796</v>
      </c>
      <c r="H784">
        <v>9.19</v>
      </c>
    </row>
    <row r="785" spans="1:8">
      <c r="A785" t="s">
        <v>1292</v>
      </c>
      <c r="B785" t="s">
        <v>1040</v>
      </c>
      <c r="C785">
        <v>33128.8299999999</v>
      </c>
      <c r="D785">
        <v>293729.82999999903</v>
      </c>
      <c r="E785">
        <v>11.28</v>
      </c>
      <c r="F785">
        <v>146</v>
      </c>
      <c r="G785">
        <v>2316</v>
      </c>
      <c r="H785">
        <v>6.3</v>
      </c>
    </row>
    <row r="786" spans="1:8">
      <c r="A786" t="s">
        <v>1292</v>
      </c>
      <c r="B786" t="s">
        <v>1045</v>
      </c>
      <c r="C786">
        <v>32450.369999999901</v>
      </c>
      <c r="D786">
        <v>303593.40000000002</v>
      </c>
      <c r="E786">
        <v>10.69</v>
      </c>
      <c r="F786">
        <v>146</v>
      </c>
      <c r="G786">
        <v>2416</v>
      </c>
      <c r="H786">
        <v>6.04</v>
      </c>
    </row>
    <row r="787" spans="1:8">
      <c r="A787" t="s">
        <v>1292</v>
      </c>
      <c r="B787" t="s">
        <v>948</v>
      </c>
      <c r="C787">
        <v>27393.199999999899</v>
      </c>
      <c r="D787">
        <v>263711.51999999897</v>
      </c>
      <c r="E787">
        <v>10.39</v>
      </c>
      <c r="F787">
        <v>148</v>
      </c>
      <c r="G787">
        <v>2237</v>
      </c>
      <c r="H787">
        <v>6.62</v>
      </c>
    </row>
    <row r="788" spans="1:8">
      <c r="A788" t="s">
        <v>1292</v>
      </c>
      <c r="B788" t="s">
        <v>959</v>
      </c>
      <c r="C788">
        <v>183332.79</v>
      </c>
      <c r="D788">
        <v>1803168.25</v>
      </c>
      <c r="E788">
        <v>10.17</v>
      </c>
      <c r="F788">
        <v>865</v>
      </c>
      <c r="G788">
        <v>14468</v>
      </c>
      <c r="H788">
        <v>5.98</v>
      </c>
    </row>
    <row r="789" spans="1:8">
      <c r="A789" t="s">
        <v>1292</v>
      </c>
      <c r="B789" t="s">
        <v>1027</v>
      </c>
      <c r="C789">
        <v>15006.91</v>
      </c>
      <c r="D789">
        <v>155690.51</v>
      </c>
      <c r="E789">
        <v>9.64</v>
      </c>
      <c r="F789">
        <v>61</v>
      </c>
      <c r="G789">
        <v>1047</v>
      </c>
      <c r="H789">
        <v>5.83</v>
      </c>
    </row>
    <row r="790" spans="1:8">
      <c r="A790" t="s">
        <v>1292</v>
      </c>
      <c r="B790" t="s">
        <v>1064</v>
      </c>
      <c r="C790">
        <v>48810.6</v>
      </c>
      <c r="D790">
        <v>508609.12999999902</v>
      </c>
      <c r="E790">
        <v>9.6</v>
      </c>
      <c r="F790">
        <v>233</v>
      </c>
      <c r="G790">
        <v>3766</v>
      </c>
      <c r="H790">
        <v>6.19</v>
      </c>
    </row>
    <row r="791" spans="1:8">
      <c r="A791" t="s">
        <v>1292</v>
      </c>
      <c r="B791" t="s">
        <v>920</v>
      </c>
      <c r="C791">
        <v>59649.24</v>
      </c>
      <c r="D791">
        <v>683400.24999999895</v>
      </c>
      <c r="E791">
        <v>8.73</v>
      </c>
      <c r="F791">
        <v>305</v>
      </c>
      <c r="G791">
        <v>5736</v>
      </c>
      <c r="H791">
        <v>5.32</v>
      </c>
    </row>
    <row r="792" spans="1:8">
      <c r="A792" t="s">
        <v>1292</v>
      </c>
      <c r="B792" t="s">
        <v>908</v>
      </c>
      <c r="C792">
        <v>434834.81999999803</v>
      </c>
      <c r="D792">
        <v>5195744.47999998</v>
      </c>
      <c r="E792">
        <v>8.3699999999999992</v>
      </c>
      <c r="F792">
        <v>2271</v>
      </c>
      <c r="G792">
        <v>47399</v>
      </c>
      <c r="H792">
        <v>4.79</v>
      </c>
    </row>
    <row r="793" spans="1:8">
      <c r="A793" t="s">
        <v>1292</v>
      </c>
      <c r="B793" t="s">
        <v>913</v>
      </c>
      <c r="C793">
        <v>122360.31</v>
      </c>
      <c r="D793">
        <v>1577629.1</v>
      </c>
      <c r="E793">
        <v>7.76</v>
      </c>
      <c r="F793">
        <v>632</v>
      </c>
      <c r="G793">
        <v>13110</v>
      </c>
      <c r="H793">
        <v>4.82</v>
      </c>
    </row>
    <row r="794" spans="1:8">
      <c r="A794" t="s">
        <v>1292</v>
      </c>
      <c r="B794" t="s">
        <v>930</v>
      </c>
      <c r="C794">
        <v>33399.429999999898</v>
      </c>
      <c r="D794">
        <v>514179.52999999898</v>
      </c>
      <c r="E794">
        <v>6.5</v>
      </c>
      <c r="F794">
        <v>184</v>
      </c>
      <c r="G794">
        <v>4156</v>
      </c>
      <c r="H794">
        <v>4.43</v>
      </c>
    </row>
    <row r="795" spans="1:8">
      <c r="A795" t="s">
        <v>1292</v>
      </c>
      <c r="B795" t="s">
        <v>925</v>
      </c>
      <c r="C795">
        <v>47915.4399999999</v>
      </c>
      <c r="D795">
        <v>751552.01999999897</v>
      </c>
      <c r="E795">
        <v>6.38</v>
      </c>
      <c r="F795">
        <v>231</v>
      </c>
      <c r="G795">
        <v>6265</v>
      </c>
      <c r="H795">
        <v>3.69</v>
      </c>
    </row>
    <row r="796" spans="1:8">
      <c r="A796" t="s">
        <v>1293</v>
      </c>
      <c r="B796" t="s">
        <v>1045</v>
      </c>
      <c r="C796">
        <v>100</v>
      </c>
      <c r="D796">
        <v>303593.40000000002</v>
      </c>
      <c r="E796">
        <v>0.03</v>
      </c>
      <c r="F796">
        <v>1</v>
      </c>
      <c r="G796">
        <v>2416</v>
      </c>
      <c r="H796">
        <v>0.04</v>
      </c>
    </row>
    <row r="797" spans="1:8">
      <c r="A797" t="s">
        <v>1294</v>
      </c>
      <c r="B797" t="s">
        <v>1027</v>
      </c>
      <c r="C797">
        <v>2919.4</v>
      </c>
      <c r="D797">
        <v>155690.51</v>
      </c>
      <c r="E797">
        <v>1.88</v>
      </c>
      <c r="F797">
        <v>6</v>
      </c>
      <c r="G797">
        <v>1047</v>
      </c>
      <c r="H797">
        <v>0.56999999999999995</v>
      </c>
    </row>
    <row r="798" spans="1:8">
      <c r="A798" t="s">
        <v>1294</v>
      </c>
      <c r="B798" t="s">
        <v>1040</v>
      </c>
      <c r="C798">
        <v>1071.3399999999999</v>
      </c>
      <c r="D798">
        <v>293729.82999999903</v>
      </c>
      <c r="E798">
        <v>0.36</v>
      </c>
      <c r="F798">
        <v>6</v>
      </c>
      <c r="G798">
        <v>2316</v>
      </c>
      <c r="H798">
        <v>0.26</v>
      </c>
    </row>
    <row r="799" spans="1:8">
      <c r="A799" t="s">
        <v>1294</v>
      </c>
      <c r="B799" t="s">
        <v>948</v>
      </c>
      <c r="C799">
        <v>859.9</v>
      </c>
      <c r="D799">
        <v>263711.51999999897</v>
      </c>
      <c r="E799">
        <v>0.33</v>
      </c>
      <c r="F799">
        <v>6</v>
      </c>
      <c r="G799">
        <v>2237</v>
      </c>
      <c r="H799">
        <v>0.27</v>
      </c>
    </row>
    <row r="800" spans="1:8">
      <c r="A800" t="s">
        <v>1294</v>
      </c>
      <c r="B800" t="s">
        <v>1045</v>
      </c>
      <c r="C800">
        <v>626.03</v>
      </c>
      <c r="D800">
        <v>303593.40000000002</v>
      </c>
      <c r="E800">
        <v>0.21</v>
      </c>
      <c r="F800">
        <v>4</v>
      </c>
      <c r="G800">
        <v>2416</v>
      </c>
      <c r="H800">
        <v>0.17</v>
      </c>
    </row>
    <row r="801" spans="1:8">
      <c r="A801" t="s">
        <v>1294</v>
      </c>
      <c r="B801" t="s">
        <v>925</v>
      </c>
      <c r="C801">
        <v>1392.44999999999</v>
      </c>
      <c r="D801">
        <v>751552.01999999897</v>
      </c>
      <c r="E801">
        <v>0.19</v>
      </c>
      <c r="F801">
        <v>17</v>
      </c>
      <c r="G801">
        <v>6265</v>
      </c>
      <c r="H801">
        <v>0.27</v>
      </c>
    </row>
    <row r="802" spans="1:8">
      <c r="A802" t="s">
        <v>1294</v>
      </c>
      <c r="B802" t="s">
        <v>908</v>
      </c>
      <c r="C802">
        <v>7895.23</v>
      </c>
      <c r="D802">
        <v>5195744.47999998</v>
      </c>
      <c r="E802">
        <v>0.15</v>
      </c>
      <c r="F802">
        <v>94</v>
      </c>
      <c r="G802">
        <v>47399</v>
      </c>
      <c r="H802">
        <v>0.2</v>
      </c>
    </row>
    <row r="803" spans="1:8">
      <c r="A803" t="s">
        <v>1294</v>
      </c>
      <c r="B803" t="s">
        <v>1064</v>
      </c>
      <c r="C803">
        <v>725.83999999999901</v>
      </c>
      <c r="D803">
        <v>508609.12999999902</v>
      </c>
      <c r="E803">
        <v>0.14000000000000001</v>
      </c>
      <c r="F803">
        <v>6</v>
      </c>
      <c r="G803">
        <v>3766</v>
      </c>
      <c r="H803">
        <v>0.16</v>
      </c>
    </row>
    <row r="804" spans="1:8">
      <c r="A804" t="s">
        <v>1294</v>
      </c>
      <c r="B804" t="s">
        <v>959</v>
      </c>
      <c r="C804">
        <v>2329.54</v>
      </c>
      <c r="D804">
        <v>1803168.25</v>
      </c>
      <c r="E804">
        <v>0.13</v>
      </c>
      <c r="F804">
        <v>19</v>
      </c>
      <c r="G804">
        <v>14468</v>
      </c>
      <c r="H804">
        <v>0.13</v>
      </c>
    </row>
    <row r="805" spans="1:8">
      <c r="A805" t="s">
        <v>1294</v>
      </c>
      <c r="B805" t="s">
        <v>930</v>
      </c>
      <c r="C805">
        <v>612.5</v>
      </c>
      <c r="D805">
        <v>514179.52999999898</v>
      </c>
      <c r="E805">
        <v>0.12</v>
      </c>
      <c r="F805">
        <v>10</v>
      </c>
      <c r="G805">
        <v>4156</v>
      </c>
      <c r="H805">
        <v>0.24</v>
      </c>
    </row>
    <row r="806" spans="1:8">
      <c r="A806" t="s">
        <v>1294</v>
      </c>
      <c r="B806" t="s">
        <v>1208</v>
      </c>
      <c r="C806">
        <v>149.69999999999999</v>
      </c>
      <c r="D806">
        <v>175925.19</v>
      </c>
      <c r="E806">
        <v>0.09</v>
      </c>
      <c r="F806">
        <v>3</v>
      </c>
      <c r="G806">
        <v>1067</v>
      </c>
      <c r="H806">
        <v>0.28000000000000003</v>
      </c>
    </row>
    <row r="807" spans="1:8">
      <c r="A807" t="s">
        <v>1294</v>
      </c>
      <c r="B807" t="s">
        <v>913</v>
      </c>
      <c r="C807">
        <v>754.44999999999902</v>
      </c>
      <c r="D807">
        <v>1577629.1</v>
      </c>
      <c r="E807">
        <v>0.05</v>
      </c>
      <c r="F807">
        <v>11</v>
      </c>
      <c r="G807">
        <v>13110</v>
      </c>
      <c r="H807">
        <v>0.08</v>
      </c>
    </row>
    <row r="808" spans="1:8">
      <c r="A808" t="s">
        <v>1294</v>
      </c>
      <c r="B808" t="s">
        <v>920</v>
      </c>
      <c r="C808">
        <v>271.789999999999</v>
      </c>
      <c r="D808">
        <v>683400.24999999895</v>
      </c>
      <c r="E808">
        <v>0.04</v>
      </c>
      <c r="F808">
        <v>3</v>
      </c>
      <c r="G808">
        <v>5736</v>
      </c>
      <c r="H808">
        <v>0.05</v>
      </c>
    </row>
    <row r="809" spans="1:8">
      <c r="A809" t="s">
        <v>1294</v>
      </c>
      <c r="B809" t="s">
        <v>1179</v>
      </c>
      <c r="C809">
        <v>77.8</v>
      </c>
      <c r="D809">
        <v>261821.53999999899</v>
      </c>
      <c r="E809">
        <v>0.03</v>
      </c>
      <c r="F809">
        <v>2</v>
      </c>
      <c r="G809">
        <v>1796</v>
      </c>
      <c r="H809">
        <v>0.11</v>
      </c>
    </row>
    <row r="810" spans="1:8">
      <c r="A810" t="s">
        <v>1295</v>
      </c>
      <c r="B810" t="s">
        <v>1208</v>
      </c>
      <c r="C810">
        <v>361.789999999999</v>
      </c>
      <c r="D810">
        <v>175925.19</v>
      </c>
      <c r="E810">
        <v>0.21</v>
      </c>
      <c r="F810">
        <v>4</v>
      </c>
      <c r="G810">
        <v>1067</v>
      </c>
      <c r="H810">
        <v>0.37</v>
      </c>
    </row>
    <row r="811" spans="1:8">
      <c r="A811" t="s">
        <v>1295</v>
      </c>
      <c r="B811" t="s">
        <v>1064</v>
      </c>
      <c r="C811">
        <v>505.8</v>
      </c>
      <c r="D811">
        <v>508609.12999999902</v>
      </c>
      <c r="E811">
        <v>0.1</v>
      </c>
      <c r="F811">
        <v>6</v>
      </c>
      <c r="G811">
        <v>3766</v>
      </c>
      <c r="H811">
        <v>0.16</v>
      </c>
    </row>
    <row r="812" spans="1:8">
      <c r="A812" t="s">
        <v>1295</v>
      </c>
      <c r="B812" t="s">
        <v>1179</v>
      </c>
      <c r="C812">
        <v>198</v>
      </c>
      <c r="D812">
        <v>261821.53999999899</v>
      </c>
      <c r="E812">
        <v>0.08</v>
      </c>
      <c r="F812">
        <v>2</v>
      </c>
      <c r="G812">
        <v>1796</v>
      </c>
      <c r="H812">
        <v>0.11</v>
      </c>
    </row>
    <row r="813" spans="1:8">
      <c r="A813" t="s">
        <v>1295</v>
      </c>
      <c r="B813" t="s">
        <v>913</v>
      </c>
      <c r="C813">
        <v>851.69999999999902</v>
      </c>
      <c r="D813">
        <v>1577629.1</v>
      </c>
      <c r="E813">
        <v>0.05</v>
      </c>
      <c r="F813">
        <v>10</v>
      </c>
      <c r="G813">
        <v>13110</v>
      </c>
      <c r="H813">
        <v>0.08</v>
      </c>
    </row>
    <row r="814" spans="1:8">
      <c r="A814" t="s">
        <v>1295</v>
      </c>
      <c r="B814" t="s">
        <v>948</v>
      </c>
      <c r="C814">
        <v>136.80000000000001</v>
      </c>
      <c r="D814">
        <v>263711.51999999897</v>
      </c>
      <c r="E814">
        <v>0.05</v>
      </c>
      <c r="F814">
        <v>3</v>
      </c>
      <c r="G814">
        <v>2237</v>
      </c>
      <c r="H814">
        <v>0.13</v>
      </c>
    </row>
    <row r="815" spans="1:8">
      <c r="A815" t="s">
        <v>1295</v>
      </c>
      <c r="B815" t="s">
        <v>908</v>
      </c>
      <c r="C815">
        <v>2449.7599999999902</v>
      </c>
      <c r="D815">
        <v>5195744.47999998</v>
      </c>
      <c r="E815">
        <v>0.05</v>
      </c>
      <c r="F815">
        <v>32</v>
      </c>
      <c r="G815">
        <v>47399</v>
      </c>
      <c r="H815">
        <v>7.0000000000000007E-2</v>
      </c>
    </row>
    <row r="816" spans="1:8">
      <c r="A816" t="s">
        <v>1295</v>
      </c>
      <c r="B816" t="s">
        <v>959</v>
      </c>
      <c r="C816">
        <v>777.8</v>
      </c>
      <c r="D816">
        <v>1803168.25</v>
      </c>
      <c r="E816">
        <v>0.04</v>
      </c>
      <c r="F816">
        <v>9</v>
      </c>
      <c r="G816">
        <v>14468</v>
      </c>
      <c r="H816">
        <v>0.06</v>
      </c>
    </row>
    <row r="817" spans="1:8">
      <c r="A817" t="s">
        <v>1295</v>
      </c>
      <c r="B817" t="s">
        <v>920</v>
      </c>
      <c r="C817">
        <v>250</v>
      </c>
      <c r="D817">
        <v>683400.24999999895</v>
      </c>
      <c r="E817">
        <v>0.04</v>
      </c>
      <c r="F817">
        <v>3</v>
      </c>
      <c r="G817">
        <v>5736</v>
      </c>
      <c r="H817">
        <v>0.05</v>
      </c>
    </row>
    <row r="818" spans="1:8">
      <c r="A818" t="s">
        <v>1295</v>
      </c>
      <c r="B818" t="s">
        <v>1027</v>
      </c>
      <c r="C818">
        <v>50.8</v>
      </c>
      <c r="D818">
        <v>155690.51</v>
      </c>
      <c r="E818">
        <v>0.03</v>
      </c>
      <c r="F818">
        <v>2</v>
      </c>
      <c r="G818">
        <v>1047</v>
      </c>
      <c r="H818">
        <v>0.19</v>
      </c>
    </row>
    <row r="819" spans="1:8">
      <c r="A819" t="s">
        <v>1295</v>
      </c>
      <c r="B819" t="s">
        <v>1040</v>
      </c>
      <c r="C819">
        <v>99</v>
      </c>
      <c r="D819">
        <v>293729.82999999903</v>
      </c>
      <c r="E819">
        <v>0.03</v>
      </c>
      <c r="F819">
        <v>1</v>
      </c>
      <c r="G819">
        <v>2316</v>
      </c>
      <c r="H819">
        <v>0.04</v>
      </c>
    </row>
    <row r="820" spans="1:8">
      <c r="A820" t="s">
        <v>1295</v>
      </c>
      <c r="B820" t="s">
        <v>925</v>
      </c>
      <c r="C820">
        <v>99</v>
      </c>
      <c r="D820">
        <v>751552.01999999897</v>
      </c>
      <c r="E820">
        <v>0.01</v>
      </c>
      <c r="F820">
        <v>1</v>
      </c>
      <c r="G820">
        <v>6265</v>
      </c>
      <c r="H820">
        <v>0.02</v>
      </c>
    </row>
    <row r="821" spans="1:8">
      <c r="A821" t="s">
        <v>1295</v>
      </c>
      <c r="B821" t="s">
        <v>1128</v>
      </c>
      <c r="C821">
        <v>29.99</v>
      </c>
      <c r="D821">
        <v>226813.40999999901</v>
      </c>
      <c r="E821">
        <v>0.01</v>
      </c>
      <c r="F821">
        <v>1</v>
      </c>
      <c r="G821">
        <v>1472</v>
      </c>
      <c r="H821">
        <v>7.0000000000000007E-2</v>
      </c>
    </row>
    <row r="822" spans="1:8">
      <c r="A822" t="s">
        <v>1296</v>
      </c>
      <c r="B822" t="s">
        <v>1064</v>
      </c>
      <c r="C822">
        <v>21100.4399999999</v>
      </c>
      <c r="D822">
        <v>508609.12999999902</v>
      </c>
      <c r="E822">
        <v>4.1500000000000004</v>
      </c>
      <c r="F822">
        <v>248</v>
      </c>
      <c r="G822">
        <v>3766</v>
      </c>
      <c r="H822">
        <v>6.59</v>
      </c>
    </row>
    <row r="823" spans="1:8">
      <c r="A823" t="s">
        <v>1296</v>
      </c>
      <c r="B823" t="s">
        <v>1179</v>
      </c>
      <c r="C823">
        <v>10597.9399999999</v>
      </c>
      <c r="D823">
        <v>261821.53999999899</v>
      </c>
      <c r="E823">
        <v>4.05</v>
      </c>
      <c r="F823">
        <v>129</v>
      </c>
      <c r="G823">
        <v>1796</v>
      </c>
      <c r="H823">
        <v>7.18</v>
      </c>
    </row>
    <row r="824" spans="1:8">
      <c r="A824" t="s">
        <v>1296</v>
      </c>
      <c r="B824" t="s">
        <v>1208</v>
      </c>
      <c r="C824">
        <v>7048.4099999999899</v>
      </c>
      <c r="D824">
        <v>175925.19</v>
      </c>
      <c r="E824">
        <v>4.01</v>
      </c>
      <c r="F824">
        <v>76</v>
      </c>
      <c r="G824">
        <v>1067</v>
      </c>
      <c r="H824">
        <v>7.12</v>
      </c>
    </row>
    <row r="825" spans="1:8">
      <c r="A825" t="s">
        <v>1296</v>
      </c>
      <c r="B825" t="s">
        <v>948</v>
      </c>
      <c r="C825">
        <v>9197.4899999999907</v>
      </c>
      <c r="D825">
        <v>263711.51999999897</v>
      </c>
      <c r="E825">
        <v>3.49</v>
      </c>
      <c r="F825">
        <v>111</v>
      </c>
      <c r="G825">
        <v>2237</v>
      </c>
      <c r="H825">
        <v>4.96</v>
      </c>
    </row>
    <row r="826" spans="1:8">
      <c r="A826" t="s">
        <v>1296</v>
      </c>
      <c r="B826" t="s">
        <v>1128</v>
      </c>
      <c r="C826">
        <v>7539.3299999999899</v>
      </c>
      <c r="D826">
        <v>226813.40999999901</v>
      </c>
      <c r="E826">
        <v>3.32</v>
      </c>
      <c r="F826">
        <v>99</v>
      </c>
      <c r="G826">
        <v>1472</v>
      </c>
      <c r="H826">
        <v>6.73</v>
      </c>
    </row>
    <row r="827" spans="1:8">
      <c r="A827" t="s">
        <v>1296</v>
      </c>
      <c r="B827" t="s">
        <v>925</v>
      </c>
      <c r="C827">
        <v>19137.6899999999</v>
      </c>
      <c r="D827">
        <v>751552.01999999897</v>
      </c>
      <c r="E827">
        <v>2.5499999999999998</v>
      </c>
      <c r="F827">
        <v>291</v>
      </c>
      <c r="G827">
        <v>6265</v>
      </c>
      <c r="H827">
        <v>4.6399999999999997</v>
      </c>
    </row>
    <row r="828" spans="1:8">
      <c r="A828" t="s">
        <v>1296</v>
      </c>
      <c r="B828" t="s">
        <v>930</v>
      </c>
      <c r="C828">
        <v>12093.4899999999</v>
      </c>
      <c r="D828">
        <v>514179.52999999898</v>
      </c>
      <c r="E828">
        <v>2.35</v>
      </c>
      <c r="F828">
        <v>173</v>
      </c>
      <c r="G828">
        <v>4156</v>
      </c>
      <c r="H828">
        <v>4.16</v>
      </c>
    </row>
    <row r="829" spans="1:8">
      <c r="A829" t="s">
        <v>1296</v>
      </c>
      <c r="B829" t="s">
        <v>1027</v>
      </c>
      <c r="C829">
        <v>3463.74</v>
      </c>
      <c r="D829">
        <v>155690.51</v>
      </c>
      <c r="E829">
        <v>2.2200000000000002</v>
      </c>
      <c r="F829">
        <v>66</v>
      </c>
      <c r="G829">
        <v>1047</v>
      </c>
      <c r="H829">
        <v>6.3</v>
      </c>
    </row>
    <row r="830" spans="1:8">
      <c r="A830" t="s">
        <v>1296</v>
      </c>
      <c r="B830" t="s">
        <v>913</v>
      </c>
      <c r="C830">
        <v>34783.8299999999</v>
      </c>
      <c r="D830">
        <v>1577629.1</v>
      </c>
      <c r="E830">
        <v>2.2000000000000002</v>
      </c>
      <c r="F830">
        <v>480</v>
      </c>
      <c r="G830">
        <v>13110</v>
      </c>
      <c r="H830">
        <v>3.66</v>
      </c>
    </row>
    <row r="831" spans="1:8">
      <c r="A831" t="s">
        <v>1296</v>
      </c>
      <c r="B831" t="s">
        <v>1040</v>
      </c>
      <c r="C831">
        <v>6218.94</v>
      </c>
      <c r="D831">
        <v>293729.82999999903</v>
      </c>
      <c r="E831">
        <v>2.12</v>
      </c>
      <c r="F831">
        <v>124</v>
      </c>
      <c r="G831">
        <v>2316</v>
      </c>
      <c r="H831">
        <v>5.35</v>
      </c>
    </row>
    <row r="832" spans="1:8">
      <c r="A832" t="s">
        <v>1296</v>
      </c>
      <c r="B832" t="s">
        <v>959</v>
      </c>
      <c r="C832">
        <v>37300.299999999901</v>
      </c>
      <c r="D832">
        <v>1803168.25</v>
      </c>
      <c r="E832">
        <v>2.0699999999999998</v>
      </c>
      <c r="F832">
        <v>431</v>
      </c>
      <c r="G832">
        <v>14468</v>
      </c>
      <c r="H832">
        <v>2.98</v>
      </c>
    </row>
    <row r="833" spans="1:8">
      <c r="A833" t="s">
        <v>1296</v>
      </c>
      <c r="B833" t="s">
        <v>1045</v>
      </c>
      <c r="C833">
        <v>6243.51</v>
      </c>
      <c r="D833">
        <v>303593.40000000002</v>
      </c>
      <c r="E833">
        <v>2.06</v>
      </c>
      <c r="F833">
        <v>94</v>
      </c>
      <c r="G833">
        <v>2416</v>
      </c>
      <c r="H833">
        <v>3.89</v>
      </c>
    </row>
    <row r="834" spans="1:8">
      <c r="A834" t="s">
        <v>1296</v>
      </c>
      <c r="B834" t="s">
        <v>908</v>
      </c>
      <c r="C834">
        <v>103189.56</v>
      </c>
      <c r="D834">
        <v>5195744.47999998</v>
      </c>
      <c r="E834">
        <v>1.99</v>
      </c>
      <c r="F834">
        <v>1639</v>
      </c>
      <c r="G834">
        <v>47399</v>
      </c>
      <c r="H834">
        <v>3.46</v>
      </c>
    </row>
    <row r="835" spans="1:8">
      <c r="A835" t="s">
        <v>1296</v>
      </c>
      <c r="B835" t="s">
        <v>920</v>
      </c>
      <c r="C835">
        <v>13254.789999999901</v>
      </c>
      <c r="D835">
        <v>683400.24999999895</v>
      </c>
      <c r="E835">
        <v>1.94</v>
      </c>
      <c r="F835">
        <v>249</v>
      </c>
      <c r="G835">
        <v>5736</v>
      </c>
      <c r="H835">
        <v>4.34</v>
      </c>
    </row>
    <row r="836" spans="1:8">
      <c r="A836" t="s">
        <v>1297</v>
      </c>
      <c r="B836" t="s">
        <v>948</v>
      </c>
      <c r="C836">
        <v>8213.7799999999897</v>
      </c>
      <c r="D836">
        <v>263711.51999999897</v>
      </c>
      <c r="E836">
        <v>3.11</v>
      </c>
      <c r="F836">
        <v>9</v>
      </c>
      <c r="G836">
        <v>2237</v>
      </c>
      <c r="H836">
        <v>0.4</v>
      </c>
    </row>
    <row r="837" spans="1:8">
      <c r="A837" t="s">
        <v>1297</v>
      </c>
      <c r="B837" t="s">
        <v>959</v>
      </c>
      <c r="C837">
        <v>19566.18</v>
      </c>
      <c r="D837">
        <v>1803168.25</v>
      </c>
      <c r="E837">
        <v>1.0900000000000001</v>
      </c>
      <c r="F837">
        <v>36</v>
      </c>
      <c r="G837">
        <v>14468</v>
      </c>
      <c r="H837">
        <v>0.25</v>
      </c>
    </row>
    <row r="838" spans="1:8">
      <c r="A838" t="s">
        <v>1297</v>
      </c>
      <c r="B838" t="s">
        <v>1064</v>
      </c>
      <c r="C838">
        <v>4131.82</v>
      </c>
      <c r="D838">
        <v>508609.12999999902</v>
      </c>
      <c r="E838">
        <v>0.81</v>
      </c>
      <c r="F838">
        <v>12</v>
      </c>
      <c r="G838">
        <v>3766</v>
      </c>
      <c r="H838">
        <v>0.32</v>
      </c>
    </row>
    <row r="839" spans="1:8">
      <c r="A839" t="s">
        <v>1297</v>
      </c>
      <c r="B839" t="s">
        <v>930</v>
      </c>
      <c r="C839">
        <v>1916.88</v>
      </c>
      <c r="D839">
        <v>514179.52999999898</v>
      </c>
      <c r="E839">
        <v>0.37</v>
      </c>
      <c r="F839">
        <v>7</v>
      </c>
      <c r="G839">
        <v>4156</v>
      </c>
      <c r="H839">
        <v>0.17</v>
      </c>
    </row>
    <row r="840" spans="1:8">
      <c r="A840" t="s">
        <v>1297</v>
      </c>
      <c r="B840" t="s">
        <v>925</v>
      </c>
      <c r="C840">
        <v>2391.77</v>
      </c>
      <c r="D840">
        <v>751552.01999999897</v>
      </c>
      <c r="E840">
        <v>0.32</v>
      </c>
      <c r="F840">
        <v>18</v>
      </c>
      <c r="G840">
        <v>6265</v>
      </c>
      <c r="H840">
        <v>0.28999999999999998</v>
      </c>
    </row>
    <row r="841" spans="1:8">
      <c r="A841" t="s">
        <v>1297</v>
      </c>
      <c r="B841" t="s">
        <v>908</v>
      </c>
      <c r="C841">
        <v>15582.3299999999</v>
      </c>
      <c r="D841">
        <v>5195744.47999998</v>
      </c>
      <c r="E841">
        <v>0.3</v>
      </c>
      <c r="F841">
        <v>117</v>
      </c>
      <c r="G841">
        <v>47399</v>
      </c>
      <c r="H841">
        <v>0.25</v>
      </c>
    </row>
    <row r="842" spans="1:8">
      <c r="A842" t="s">
        <v>1297</v>
      </c>
      <c r="B842" t="s">
        <v>1128</v>
      </c>
      <c r="C842">
        <v>369.789999999999</v>
      </c>
      <c r="D842">
        <v>226813.40999999901</v>
      </c>
      <c r="E842">
        <v>0.16</v>
      </c>
      <c r="F842">
        <v>4</v>
      </c>
      <c r="G842">
        <v>1472</v>
      </c>
      <c r="H842">
        <v>0.27</v>
      </c>
    </row>
    <row r="843" spans="1:8">
      <c r="A843" t="s">
        <v>1297</v>
      </c>
      <c r="B843" t="s">
        <v>1040</v>
      </c>
      <c r="C843">
        <v>409.78</v>
      </c>
      <c r="D843">
        <v>293729.82999999903</v>
      </c>
      <c r="E843">
        <v>0.14000000000000001</v>
      </c>
      <c r="F843">
        <v>6</v>
      </c>
      <c r="G843">
        <v>2316</v>
      </c>
      <c r="H843">
        <v>0.26</v>
      </c>
    </row>
    <row r="844" spans="1:8">
      <c r="A844" t="s">
        <v>1297</v>
      </c>
      <c r="B844" t="s">
        <v>913</v>
      </c>
      <c r="C844">
        <v>1233.6099999999999</v>
      </c>
      <c r="D844">
        <v>1577629.1</v>
      </c>
      <c r="E844">
        <v>0.08</v>
      </c>
      <c r="F844">
        <v>16</v>
      </c>
      <c r="G844">
        <v>13110</v>
      </c>
      <c r="H844">
        <v>0.12</v>
      </c>
    </row>
    <row r="845" spans="1:8">
      <c r="A845" t="s">
        <v>1297</v>
      </c>
      <c r="B845" t="s">
        <v>920</v>
      </c>
      <c r="C845">
        <v>279.67999999999898</v>
      </c>
      <c r="D845">
        <v>683400.24999999895</v>
      </c>
      <c r="E845">
        <v>0.04</v>
      </c>
      <c r="F845">
        <v>6</v>
      </c>
      <c r="G845">
        <v>5736</v>
      </c>
      <c r="H845">
        <v>0.1</v>
      </c>
    </row>
    <row r="846" spans="1:8">
      <c r="A846" t="s">
        <v>1297</v>
      </c>
      <c r="B846" t="s">
        <v>1179</v>
      </c>
      <c r="C846">
        <v>89.88</v>
      </c>
      <c r="D846">
        <v>261821.53999999899</v>
      </c>
      <c r="E846">
        <v>0.03</v>
      </c>
      <c r="F846">
        <v>3</v>
      </c>
      <c r="G846">
        <v>1796</v>
      </c>
      <c r="H846">
        <v>0.17</v>
      </c>
    </row>
    <row r="847" spans="1:8">
      <c r="A847" t="s">
        <v>1297</v>
      </c>
      <c r="B847" t="s">
        <v>1045</v>
      </c>
      <c r="C847">
        <v>72.979999999999905</v>
      </c>
      <c r="D847">
        <v>303593.40000000002</v>
      </c>
      <c r="E847">
        <v>0.02</v>
      </c>
      <c r="F847">
        <v>3</v>
      </c>
      <c r="G847">
        <v>2416</v>
      </c>
      <c r="H847">
        <v>0.12</v>
      </c>
    </row>
    <row r="848" spans="1:8">
      <c r="A848" t="s">
        <v>1298</v>
      </c>
      <c r="B848" t="s">
        <v>908</v>
      </c>
      <c r="C848">
        <v>274752.13999999902</v>
      </c>
      <c r="D848">
        <v>5195744.47999998</v>
      </c>
      <c r="E848">
        <v>5.29</v>
      </c>
      <c r="F848">
        <v>3252</v>
      </c>
      <c r="G848">
        <v>47399</v>
      </c>
      <c r="H848">
        <v>6.86</v>
      </c>
    </row>
    <row r="849" spans="1:8">
      <c r="A849" t="s">
        <v>1298</v>
      </c>
      <c r="B849" t="s">
        <v>930</v>
      </c>
      <c r="C849">
        <v>26955.389999999901</v>
      </c>
      <c r="D849">
        <v>514179.52999999898</v>
      </c>
      <c r="E849">
        <v>5.24</v>
      </c>
      <c r="F849">
        <v>264</v>
      </c>
      <c r="G849">
        <v>4156</v>
      </c>
      <c r="H849">
        <v>6.35</v>
      </c>
    </row>
    <row r="850" spans="1:8">
      <c r="A850" t="s">
        <v>1298</v>
      </c>
      <c r="B850" t="s">
        <v>925</v>
      </c>
      <c r="C850">
        <v>38585.639999999898</v>
      </c>
      <c r="D850">
        <v>751552.01999999897</v>
      </c>
      <c r="E850">
        <v>5.13</v>
      </c>
      <c r="F850">
        <v>433</v>
      </c>
      <c r="G850">
        <v>6265</v>
      </c>
      <c r="H850">
        <v>6.91</v>
      </c>
    </row>
    <row r="851" spans="1:8">
      <c r="A851" t="s">
        <v>1298</v>
      </c>
      <c r="B851" t="s">
        <v>1040</v>
      </c>
      <c r="C851">
        <v>14836.0999999999</v>
      </c>
      <c r="D851">
        <v>293729.82999999903</v>
      </c>
      <c r="E851">
        <v>5.05</v>
      </c>
      <c r="F851">
        <v>132</v>
      </c>
      <c r="G851">
        <v>2316</v>
      </c>
      <c r="H851">
        <v>5.7</v>
      </c>
    </row>
    <row r="852" spans="1:8">
      <c r="A852" t="s">
        <v>1298</v>
      </c>
      <c r="B852" t="s">
        <v>913</v>
      </c>
      <c r="C852">
        <v>77946.030000000101</v>
      </c>
      <c r="D852">
        <v>1577629.1</v>
      </c>
      <c r="E852">
        <v>4.9400000000000004</v>
      </c>
      <c r="F852">
        <v>833</v>
      </c>
      <c r="G852">
        <v>13110</v>
      </c>
      <c r="H852">
        <v>6.35</v>
      </c>
    </row>
    <row r="853" spans="1:8">
      <c r="A853" t="s">
        <v>1298</v>
      </c>
      <c r="B853" t="s">
        <v>920</v>
      </c>
      <c r="C853">
        <v>31221.5999999999</v>
      </c>
      <c r="D853">
        <v>683400.24999999895</v>
      </c>
      <c r="E853">
        <v>4.57</v>
      </c>
      <c r="F853">
        <v>337</v>
      </c>
      <c r="G853">
        <v>5736</v>
      </c>
      <c r="H853">
        <v>5.88</v>
      </c>
    </row>
    <row r="854" spans="1:8">
      <c r="A854" t="s">
        <v>1298</v>
      </c>
      <c r="B854" t="s">
        <v>948</v>
      </c>
      <c r="C854">
        <v>11770.02</v>
      </c>
      <c r="D854">
        <v>263711.51999999897</v>
      </c>
      <c r="E854">
        <v>4.46</v>
      </c>
      <c r="F854">
        <v>112</v>
      </c>
      <c r="G854">
        <v>2237</v>
      </c>
      <c r="H854">
        <v>5.01</v>
      </c>
    </row>
    <row r="855" spans="1:8">
      <c r="A855" t="s">
        <v>1298</v>
      </c>
      <c r="B855" t="s">
        <v>959</v>
      </c>
      <c r="C855">
        <v>77466.880000000107</v>
      </c>
      <c r="D855">
        <v>1803168.25</v>
      </c>
      <c r="E855">
        <v>4.3</v>
      </c>
      <c r="F855">
        <v>874</v>
      </c>
      <c r="G855">
        <v>14468</v>
      </c>
      <c r="H855">
        <v>6.04</v>
      </c>
    </row>
    <row r="856" spans="1:8">
      <c r="A856" t="s">
        <v>1298</v>
      </c>
      <c r="B856" t="s">
        <v>1045</v>
      </c>
      <c r="C856">
        <v>12940.959999999901</v>
      </c>
      <c r="D856">
        <v>303593.40000000002</v>
      </c>
      <c r="E856">
        <v>4.26</v>
      </c>
      <c r="F856">
        <v>156</v>
      </c>
      <c r="G856">
        <v>2416</v>
      </c>
      <c r="H856">
        <v>6.46</v>
      </c>
    </row>
    <row r="857" spans="1:8">
      <c r="A857" t="s">
        <v>1298</v>
      </c>
      <c r="B857" t="s">
        <v>1128</v>
      </c>
      <c r="C857">
        <v>7643.3099999999904</v>
      </c>
      <c r="D857">
        <v>226813.40999999901</v>
      </c>
      <c r="E857">
        <v>3.37</v>
      </c>
      <c r="F857">
        <v>59</v>
      </c>
      <c r="G857">
        <v>1472</v>
      </c>
      <c r="H857">
        <v>4.01</v>
      </c>
    </row>
    <row r="858" spans="1:8">
      <c r="A858" t="s">
        <v>1298</v>
      </c>
      <c r="B858" t="s">
        <v>1064</v>
      </c>
      <c r="C858">
        <v>16726.999999999902</v>
      </c>
      <c r="D858">
        <v>508609.12999999902</v>
      </c>
      <c r="E858">
        <v>3.29</v>
      </c>
      <c r="F858">
        <v>157</v>
      </c>
      <c r="G858">
        <v>3766</v>
      </c>
      <c r="H858">
        <v>4.17</v>
      </c>
    </row>
    <row r="859" spans="1:8">
      <c r="A859" t="s">
        <v>1298</v>
      </c>
      <c r="B859" t="s">
        <v>1208</v>
      </c>
      <c r="C859">
        <v>4660.21</v>
      </c>
      <c r="D859">
        <v>175925.19</v>
      </c>
      <c r="E859">
        <v>2.65</v>
      </c>
      <c r="F859">
        <v>38</v>
      </c>
      <c r="G859">
        <v>1067</v>
      </c>
      <c r="H859">
        <v>3.56</v>
      </c>
    </row>
    <row r="860" spans="1:8">
      <c r="A860" t="s">
        <v>1298</v>
      </c>
      <c r="B860" t="s">
        <v>1027</v>
      </c>
      <c r="C860">
        <v>3700.4</v>
      </c>
      <c r="D860">
        <v>155690.51</v>
      </c>
      <c r="E860">
        <v>2.38</v>
      </c>
      <c r="F860">
        <v>53</v>
      </c>
      <c r="G860">
        <v>1047</v>
      </c>
      <c r="H860">
        <v>5.0599999999999996</v>
      </c>
    </row>
    <row r="861" spans="1:8">
      <c r="A861" t="s">
        <v>1298</v>
      </c>
      <c r="B861" t="s">
        <v>1179</v>
      </c>
      <c r="C861">
        <v>5408.48</v>
      </c>
      <c r="D861">
        <v>261821.53999999899</v>
      </c>
      <c r="E861">
        <v>2.0699999999999998</v>
      </c>
      <c r="F861">
        <v>62</v>
      </c>
      <c r="G861">
        <v>1796</v>
      </c>
      <c r="H861">
        <v>3.45</v>
      </c>
    </row>
    <row r="862" spans="1:8">
      <c r="B862" t="s">
        <v>1208</v>
      </c>
      <c r="C862">
        <v>9178.9599999999991</v>
      </c>
      <c r="D862">
        <v>175925.19</v>
      </c>
      <c r="E862">
        <v>5.22</v>
      </c>
      <c r="F862">
        <v>19</v>
      </c>
      <c r="G862">
        <v>1067</v>
      </c>
      <c r="H862">
        <v>1.78</v>
      </c>
    </row>
    <row r="863" spans="1:8">
      <c r="B863" t="s">
        <v>1040</v>
      </c>
      <c r="C863">
        <v>8797.76</v>
      </c>
      <c r="D863">
        <v>293729.82999999903</v>
      </c>
      <c r="E863">
        <v>3</v>
      </c>
      <c r="F863">
        <v>54</v>
      </c>
      <c r="G863">
        <v>2316</v>
      </c>
      <c r="H863">
        <v>2.33</v>
      </c>
    </row>
    <row r="864" spans="1:8">
      <c r="B864" t="s">
        <v>1179</v>
      </c>
      <c r="C864">
        <v>4137.63</v>
      </c>
      <c r="D864">
        <v>261821.53999999899</v>
      </c>
      <c r="E864">
        <v>1.58</v>
      </c>
      <c r="F864">
        <v>23</v>
      </c>
      <c r="G864">
        <v>1796</v>
      </c>
      <c r="H864">
        <v>1.28</v>
      </c>
    </row>
    <row r="865" spans="2:8">
      <c r="B865" t="s">
        <v>1128</v>
      </c>
      <c r="C865">
        <v>3546.67</v>
      </c>
      <c r="D865">
        <v>226813.40999999901</v>
      </c>
      <c r="E865">
        <v>1.56</v>
      </c>
      <c r="F865">
        <v>18</v>
      </c>
      <c r="G865">
        <v>1472</v>
      </c>
      <c r="H865">
        <v>1.22</v>
      </c>
    </row>
    <row r="866" spans="2:8">
      <c r="B866" t="s">
        <v>930</v>
      </c>
      <c r="C866">
        <v>7263.5499999999902</v>
      </c>
      <c r="D866">
        <v>514179.52999999898</v>
      </c>
      <c r="E866">
        <v>1.41</v>
      </c>
      <c r="F866">
        <v>63</v>
      </c>
      <c r="G866">
        <v>4156</v>
      </c>
      <c r="H866">
        <v>1.52</v>
      </c>
    </row>
    <row r="867" spans="2:8">
      <c r="B867" t="s">
        <v>908</v>
      </c>
      <c r="C867">
        <v>67102.090000000098</v>
      </c>
      <c r="D867">
        <v>5195744.47999998</v>
      </c>
      <c r="E867">
        <v>1.29</v>
      </c>
      <c r="F867">
        <v>657</v>
      </c>
      <c r="G867">
        <v>47399</v>
      </c>
      <c r="H867">
        <v>1.39</v>
      </c>
    </row>
    <row r="868" spans="2:8">
      <c r="B868" t="s">
        <v>959</v>
      </c>
      <c r="C868">
        <v>23252.519999999899</v>
      </c>
      <c r="D868">
        <v>1803168.25</v>
      </c>
      <c r="E868">
        <v>1.29</v>
      </c>
      <c r="F868">
        <v>218</v>
      </c>
      <c r="G868">
        <v>14468</v>
      </c>
      <c r="H868">
        <v>1.51</v>
      </c>
    </row>
    <row r="869" spans="2:8">
      <c r="B869" t="s">
        <v>1064</v>
      </c>
      <c r="C869">
        <v>6518.6399999999903</v>
      </c>
      <c r="D869">
        <v>508609.12999999902</v>
      </c>
      <c r="E869">
        <v>1.28</v>
      </c>
      <c r="F869">
        <v>58</v>
      </c>
      <c r="G869">
        <v>3766</v>
      </c>
      <c r="H869">
        <v>1.54</v>
      </c>
    </row>
    <row r="870" spans="2:8">
      <c r="B870" t="s">
        <v>920</v>
      </c>
      <c r="C870">
        <v>8497.23</v>
      </c>
      <c r="D870">
        <v>683400.24999999895</v>
      </c>
      <c r="E870">
        <v>1.24</v>
      </c>
      <c r="F870">
        <v>79</v>
      </c>
      <c r="G870">
        <v>5736</v>
      </c>
      <c r="H870">
        <v>1.38</v>
      </c>
    </row>
    <row r="871" spans="2:8">
      <c r="B871" t="s">
        <v>913</v>
      </c>
      <c r="C871">
        <v>18206.249999999902</v>
      </c>
      <c r="D871">
        <v>1577629.1</v>
      </c>
      <c r="E871">
        <v>1.1499999999999999</v>
      </c>
      <c r="F871">
        <v>181</v>
      </c>
      <c r="G871">
        <v>13110</v>
      </c>
      <c r="H871">
        <v>1.38</v>
      </c>
    </row>
    <row r="872" spans="2:8">
      <c r="B872" t="s">
        <v>925</v>
      </c>
      <c r="C872">
        <v>8414.7000000000007</v>
      </c>
      <c r="D872">
        <v>751552.01999999897</v>
      </c>
      <c r="E872">
        <v>1.1200000000000001</v>
      </c>
      <c r="F872">
        <v>100</v>
      </c>
      <c r="G872">
        <v>6265</v>
      </c>
      <c r="H872">
        <v>1.6</v>
      </c>
    </row>
    <row r="873" spans="2:8">
      <c r="B873" t="s">
        <v>1045</v>
      </c>
      <c r="C873">
        <v>2701.81</v>
      </c>
      <c r="D873">
        <v>303593.40000000002</v>
      </c>
      <c r="E873">
        <v>0.89</v>
      </c>
      <c r="F873">
        <v>33</v>
      </c>
      <c r="G873">
        <v>2416</v>
      </c>
      <c r="H873">
        <v>1.37</v>
      </c>
    </row>
    <row r="874" spans="2:8">
      <c r="B874" t="s">
        <v>948</v>
      </c>
      <c r="C874">
        <v>1614.27</v>
      </c>
      <c r="D874">
        <v>263711.51999999897</v>
      </c>
      <c r="E874">
        <v>0.61</v>
      </c>
      <c r="F874">
        <v>18</v>
      </c>
      <c r="G874">
        <v>2237</v>
      </c>
      <c r="H874">
        <v>0.8</v>
      </c>
    </row>
    <row r="875" spans="2:8">
      <c r="B875" t="s">
        <v>1027</v>
      </c>
      <c r="C875">
        <v>919.41</v>
      </c>
      <c r="D875">
        <v>155690.51</v>
      </c>
      <c r="E875">
        <v>0.59</v>
      </c>
      <c r="F875">
        <v>11</v>
      </c>
      <c r="G875">
        <v>1047</v>
      </c>
      <c r="H875">
        <v>1.05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165A-4891-40D9-B4BA-7357B34C92EB}">
  <dimension ref="A1:A9"/>
  <sheetViews>
    <sheetView workbookViewId="0">
      <selection activeCell="A9" sqref="A9"/>
    </sheetView>
  </sheetViews>
  <sheetFormatPr defaultRowHeight="14.4"/>
  <cols>
    <col min="1" max="1" width="14" bestFit="1" customWidth="1"/>
  </cols>
  <sheetData>
    <row r="1" spans="1:1">
      <c r="A1" t="s">
        <v>4</v>
      </c>
    </row>
    <row r="2" spans="1:1">
      <c r="A2" t="s">
        <v>5</v>
      </c>
    </row>
    <row r="3" spans="1:1">
      <c r="A3" t="s">
        <v>6</v>
      </c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  <row r="7" spans="1:1">
      <c r="A7" t="s">
        <v>10</v>
      </c>
    </row>
    <row r="8" spans="1:1">
      <c r="A8" t="s">
        <v>11</v>
      </c>
    </row>
    <row r="9" spans="1:1">
      <c r="A9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FDBFC-B04C-4514-B2A8-2554698EE1CF}">
  <dimension ref="A3:D10"/>
  <sheetViews>
    <sheetView workbookViewId="0">
      <selection activeCell="B14" sqref="B14"/>
    </sheetView>
  </sheetViews>
  <sheetFormatPr defaultRowHeight="14.4"/>
  <cols>
    <col min="1" max="1" width="12.44140625" bestFit="1" customWidth="1"/>
    <col min="2" max="2" width="17.44140625" bestFit="1" customWidth="1"/>
    <col min="3" max="3" width="16.5546875" bestFit="1" customWidth="1"/>
    <col min="4" max="4" width="17.77734375" bestFit="1" customWidth="1"/>
    <col min="5" max="5" width="18.21875" bestFit="1" customWidth="1"/>
    <col min="6" max="10" width="17.77734375" bestFit="1" customWidth="1"/>
    <col min="11" max="82" width="3" bestFit="1" customWidth="1"/>
    <col min="83" max="230" width="4" bestFit="1" customWidth="1"/>
    <col min="231" max="243" width="5" bestFit="1" customWidth="1"/>
    <col min="244" max="244" width="10.5546875" bestFit="1" customWidth="1"/>
  </cols>
  <sheetData>
    <row r="3" spans="1:4">
      <c r="A3" s="4" t="s">
        <v>943</v>
      </c>
      <c r="B3" s="6" t="s">
        <v>1202</v>
      </c>
      <c r="C3" t="s">
        <v>1203</v>
      </c>
      <c r="D3" t="s">
        <v>1204</v>
      </c>
    </row>
    <row r="4" spans="1:4">
      <c r="A4" s="5" t="s">
        <v>913</v>
      </c>
      <c r="B4" s="6">
        <v>0.77522878275040741</v>
      </c>
      <c r="C4" s="6">
        <v>8.5621160837407548E-2</v>
      </c>
      <c r="D4" s="6">
        <v>0.13915005641218503</v>
      </c>
    </row>
    <row r="5" spans="1:4">
      <c r="A5" s="5" t="s">
        <v>920</v>
      </c>
      <c r="B5" s="6">
        <v>0.77008618293021958</v>
      </c>
      <c r="C5" s="6">
        <v>7.7286627745343339E-2</v>
      </c>
      <c r="D5" s="6">
        <v>0.15262718932443703</v>
      </c>
    </row>
    <row r="6" spans="1:4">
      <c r="A6" s="5" t="s">
        <v>959</v>
      </c>
      <c r="B6" s="6">
        <v>0.78605112931248444</v>
      </c>
      <c r="C6" s="6">
        <v>7.0488955075701173E-2</v>
      </c>
      <c r="D6" s="6">
        <v>0.14345991561181434</v>
      </c>
    </row>
    <row r="7" spans="1:4">
      <c r="A7" s="5" t="s">
        <v>925</v>
      </c>
      <c r="B7" s="6">
        <v>0.82037037037037042</v>
      </c>
      <c r="C7" s="6">
        <v>7.9012345679012344E-2</v>
      </c>
      <c r="D7" s="6">
        <v>0.10061728395061728</v>
      </c>
    </row>
    <row r="8" spans="1:4">
      <c r="A8" s="5" t="s">
        <v>930</v>
      </c>
      <c r="B8" s="6">
        <v>0.76586433260393871</v>
      </c>
      <c r="C8" s="6">
        <v>8.3150984682713341E-2</v>
      </c>
      <c r="D8" s="6">
        <v>0.15098468271334792</v>
      </c>
    </row>
    <row r="9" spans="1:4">
      <c r="A9" s="5" t="s">
        <v>908</v>
      </c>
      <c r="B9" s="6">
        <v>0.74620780540035969</v>
      </c>
      <c r="C9" s="6">
        <v>8.8033824316718606E-2</v>
      </c>
      <c r="D9" s="6">
        <v>0.16575837028292173</v>
      </c>
    </row>
    <row r="10" spans="1:4">
      <c r="A10" s="5" t="s">
        <v>944</v>
      </c>
      <c r="B10" s="6">
        <v>0.75391778332954806</v>
      </c>
      <c r="C10" s="6">
        <v>8.5995085995085999E-2</v>
      </c>
      <c r="D10" s="6">
        <v>0.16008713067536598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254C-1BB0-4950-BA13-C96E2BE4FD50}">
  <dimension ref="A3:V48"/>
  <sheetViews>
    <sheetView workbookViewId="0">
      <selection activeCell="Q5" sqref="Q5"/>
    </sheetView>
  </sheetViews>
  <sheetFormatPr defaultRowHeight="14.4"/>
  <cols>
    <col min="1" max="1" width="12.44140625" bestFit="1" customWidth="1"/>
    <col min="2" max="2" width="18.21875" bestFit="1" customWidth="1"/>
    <col min="13" max="13" width="10.21875" bestFit="1" customWidth="1"/>
    <col min="14" max="14" width="11.77734375" bestFit="1" customWidth="1"/>
    <col min="21" max="21" width="10.21875" bestFit="1" customWidth="1"/>
    <col min="22" max="22" width="12.6640625" bestFit="1" customWidth="1"/>
  </cols>
  <sheetData>
    <row r="3" spans="1:22">
      <c r="A3" s="4" t="s">
        <v>943</v>
      </c>
      <c r="B3" t="s">
        <v>1197</v>
      </c>
    </row>
    <row r="4" spans="1:22">
      <c r="A4" s="5" t="s">
        <v>913</v>
      </c>
      <c r="B4">
        <v>7977</v>
      </c>
    </row>
    <row r="5" spans="1:22">
      <c r="A5" s="5" t="s">
        <v>920</v>
      </c>
      <c r="B5">
        <v>7194</v>
      </c>
      <c r="M5" t="s">
        <v>905</v>
      </c>
      <c r="N5" t="s">
        <v>1205</v>
      </c>
      <c r="U5" t="s">
        <v>905</v>
      </c>
      <c r="V5" t="s">
        <v>1213</v>
      </c>
    </row>
    <row r="6" spans="1:22">
      <c r="A6" s="5" t="s">
        <v>959</v>
      </c>
      <c r="B6">
        <v>4029</v>
      </c>
      <c r="M6" t="s">
        <v>1206</v>
      </c>
      <c r="N6">
        <v>267</v>
      </c>
      <c r="U6" t="s">
        <v>1206</v>
      </c>
      <c r="V6">
        <v>267</v>
      </c>
    </row>
    <row r="7" spans="1:22">
      <c r="A7" s="5" t="s">
        <v>925</v>
      </c>
      <c r="B7">
        <v>1620</v>
      </c>
      <c r="M7" t="s">
        <v>1207</v>
      </c>
      <c r="N7">
        <v>1177</v>
      </c>
      <c r="U7" t="s">
        <v>1207</v>
      </c>
      <c r="V7">
        <v>392.33333333333297</v>
      </c>
    </row>
    <row r="8" spans="1:22">
      <c r="A8" s="5" t="s">
        <v>930</v>
      </c>
      <c r="B8">
        <v>3199</v>
      </c>
      <c r="M8" t="s">
        <v>1064</v>
      </c>
      <c r="N8">
        <v>285561.55999999901</v>
      </c>
      <c r="U8" t="s">
        <v>1064</v>
      </c>
      <c r="V8">
        <v>444.10818040435402</v>
      </c>
    </row>
    <row r="9" spans="1:22">
      <c r="A9" s="5" t="s">
        <v>908</v>
      </c>
      <c r="B9">
        <v>72847</v>
      </c>
      <c r="M9" t="s">
        <v>1128</v>
      </c>
      <c r="N9">
        <v>20240.64</v>
      </c>
      <c r="U9" t="s">
        <v>1128</v>
      </c>
      <c r="V9">
        <v>215.32595744680799</v>
      </c>
    </row>
    <row r="10" spans="1:22">
      <c r="A10" s="5" t="s">
        <v>944</v>
      </c>
      <c r="B10">
        <v>96866</v>
      </c>
      <c r="M10" t="s">
        <v>1045</v>
      </c>
      <c r="N10">
        <v>97749.480000000098</v>
      </c>
      <c r="U10" t="s">
        <v>1045</v>
      </c>
      <c r="V10">
        <v>108.73134593993299</v>
      </c>
    </row>
    <row r="11" spans="1:22">
      <c r="M11" t="s">
        <v>948</v>
      </c>
      <c r="N11">
        <v>47689.61</v>
      </c>
      <c r="U11" t="s">
        <v>948</v>
      </c>
      <c r="V11">
        <v>128.19787634408601</v>
      </c>
    </row>
    <row r="12" spans="1:22">
      <c r="M12" t="s">
        <v>1040</v>
      </c>
      <c r="N12">
        <v>66399.210000000196</v>
      </c>
      <c r="U12" t="s">
        <v>1040</v>
      </c>
      <c r="V12">
        <v>127.69078846153801</v>
      </c>
    </row>
    <row r="13" spans="1:22">
      <c r="M13" t="s">
        <v>965</v>
      </c>
      <c r="N13">
        <v>36408.949999999997</v>
      </c>
      <c r="U13" t="s">
        <v>965</v>
      </c>
      <c r="V13">
        <v>89.898641975308706</v>
      </c>
    </row>
    <row r="14" spans="1:22">
      <c r="M14" t="s">
        <v>913</v>
      </c>
      <c r="N14">
        <v>1011564.74000002</v>
      </c>
      <c r="U14" t="s">
        <v>913</v>
      </c>
      <c r="V14">
        <v>114.598928288209</v>
      </c>
    </row>
    <row r="15" spans="1:22">
      <c r="M15" t="s">
        <v>935</v>
      </c>
      <c r="N15">
        <v>8551.6899999999896</v>
      </c>
      <c r="U15" t="s">
        <v>935</v>
      </c>
      <c r="V15">
        <v>171.03380000000001</v>
      </c>
    </row>
    <row r="16" spans="1:22">
      <c r="M16" t="s">
        <v>1027</v>
      </c>
      <c r="N16">
        <v>17070.719999999899</v>
      </c>
      <c r="U16" t="s">
        <v>1027</v>
      </c>
      <c r="V16">
        <v>117.729103448275</v>
      </c>
    </row>
    <row r="17" spans="5:22">
      <c r="M17" t="s">
        <v>1208</v>
      </c>
      <c r="N17">
        <v>1238</v>
      </c>
      <c r="U17" t="s">
        <v>1208</v>
      </c>
      <c r="V17">
        <v>154.75</v>
      </c>
    </row>
    <row r="18" spans="5:22">
      <c r="M18" t="s">
        <v>1209</v>
      </c>
      <c r="N18">
        <v>17094.999999999902</v>
      </c>
      <c r="U18" t="s">
        <v>1209</v>
      </c>
      <c r="V18">
        <v>449.86842105263099</v>
      </c>
    </row>
    <row r="19" spans="5:22">
      <c r="M19" t="s">
        <v>1179</v>
      </c>
      <c r="N19">
        <v>91493.850000000195</v>
      </c>
      <c r="U19" t="s">
        <v>1179</v>
      </c>
      <c r="V19">
        <v>204.22734374999999</v>
      </c>
    </row>
    <row r="20" spans="5:22">
      <c r="M20" t="s">
        <v>1210</v>
      </c>
      <c r="N20">
        <v>2522</v>
      </c>
      <c r="U20" t="s">
        <v>1210</v>
      </c>
      <c r="V20">
        <v>210.166666666666</v>
      </c>
    </row>
    <row r="21" spans="5:22">
      <c r="M21" t="s">
        <v>920</v>
      </c>
      <c r="N21">
        <v>1261887.21000004</v>
      </c>
      <c r="U21" t="s">
        <v>920</v>
      </c>
      <c r="V21">
        <v>145.529605581829</v>
      </c>
    </row>
    <row r="22" spans="5:22">
      <c r="M22" t="s">
        <v>959</v>
      </c>
      <c r="N22">
        <v>843984.22000000696</v>
      </c>
      <c r="U22" t="s">
        <v>959</v>
      </c>
      <c r="V22">
        <v>175.17314653383301</v>
      </c>
    </row>
    <row r="23" spans="5:22">
      <c r="M23" t="s">
        <v>918</v>
      </c>
      <c r="N23">
        <v>9992.5999999999894</v>
      </c>
      <c r="U23" t="s">
        <v>918</v>
      </c>
      <c r="V23">
        <v>178.43928571428501</v>
      </c>
    </row>
    <row r="24" spans="5:22">
      <c r="M24" t="s">
        <v>1211</v>
      </c>
      <c r="N24">
        <v>4762.2</v>
      </c>
      <c r="U24" t="s">
        <v>1211</v>
      </c>
      <c r="V24">
        <v>340.15714285714199</v>
      </c>
    </row>
    <row r="25" spans="5:22">
      <c r="M25" t="s">
        <v>925</v>
      </c>
      <c r="N25">
        <v>378559.53999999701</v>
      </c>
      <c r="U25" t="s">
        <v>925</v>
      </c>
      <c r="V25">
        <v>172.150768531149</v>
      </c>
    </row>
    <row r="26" spans="5:22">
      <c r="M26" t="s">
        <v>930</v>
      </c>
      <c r="N26">
        <v>632426.06999999995</v>
      </c>
      <c r="U26" t="s">
        <v>930</v>
      </c>
      <c r="V26">
        <v>155.196581595092</v>
      </c>
    </row>
    <row r="27" spans="5:22">
      <c r="M27" t="s">
        <v>1212</v>
      </c>
      <c r="N27">
        <v>1606.19999999999</v>
      </c>
      <c r="U27" t="s">
        <v>1212</v>
      </c>
      <c r="V27">
        <v>160.61999999999901</v>
      </c>
    </row>
    <row r="28" spans="5:22">
      <c r="M28" t="s">
        <v>908</v>
      </c>
      <c r="N28">
        <v>8753396.2100013793</v>
      </c>
      <c r="U28" t="s">
        <v>908</v>
      </c>
      <c r="V28">
        <v>108.951684175171</v>
      </c>
    </row>
    <row r="29" spans="5:22">
      <c r="E29" t="s">
        <v>1217</v>
      </c>
      <c r="F29" t="s">
        <v>1214</v>
      </c>
    </row>
    <row r="30" spans="5:22">
      <c r="E30" t="s">
        <v>1064</v>
      </c>
      <c r="F30">
        <v>3766</v>
      </c>
    </row>
    <row r="31" spans="5:22">
      <c r="E31" t="s">
        <v>1128</v>
      </c>
      <c r="F31">
        <v>1472</v>
      </c>
    </row>
    <row r="32" spans="5:22">
      <c r="E32" t="s">
        <v>1045</v>
      </c>
      <c r="F32">
        <v>2416</v>
      </c>
    </row>
    <row r="33" spans="5:6">
      <c r="E33" t="s">
        <v>948</v>
      </c>
      <c r="F33">
        <v>2237</v>
      </c>
    </row>
    <row r="34" spans="5:6">
      <c r="E34" t="s">
        <v>1040</v>
      </c>
      <c r="F34">
        <v>2316</v>
      </c>
    </row>
    <row r="35" spans="5:6">
      <c r="E35" t="s">
        <v>965</v>
      </c>
      <c r="F35">
        <v>823</v>
      </c>
    </row>
    <row r="36" spans="5:6">
      <c r="E36" t="s">
        <v>913</v>
      </c>
      <c r="F36">
        <v>13110</v>
      </c>
    </row>
    <row r="37" spans="5:6">
      <c r="E37" t="s">
        <v>935</v>
      </c>
      <c r="F37">
        <v>829</v>
      </c>
    </row>
    <row r="38" spans="5:6">
      <c r="E38" t="s">
        <v>1027</v>
      </c>
      <c r="F38">
        <v>1047</v>
      </c>
    </row>
    <row r="39" spans="5:6">
      <c r="E39" t="s">
        <v>1208</v>
      </c>
      <c r="F39">
        <v>1067</v>
      </c>
    </row>
    <row r="40" spans="5:6">
      <c r="E40" t="s">
        <v>1209</v>
      </c>
      <c r="F40">
        <v>596</v>
      </c>
    </row>
    <row r="41" spans="5:6">
      <c r="E41" t="s">
        <v>1179</v>
      </c>
      <c r="F41">
        <v>1796</v>
      </c>
    </row>
    <row r="42" spans="5:6">
      <c r="E42" t="s">
        <v>1210</v>
      </c>
      <c r="F42">
        <v>538</v>
      </c>
    </row>
    <row r="43" spans="5:6">
      <c r="E43" t="s">
        <v>920</v>
      </c>
      <c r="F43">
        <v>5736</v>
      </c>
    </row>
    <row r="44" spans="5:6">
      <c r="E44" t="s">
        <v>959</v>
      </c>
      <c r="F44">
        <v>14468</v>
      </c>
    </row>
    <row r="45" spans="5:6">
      <c r="E45" t="s">
        <v>918</v>
      </c>
      <c r="F45">
        <v>527</v>
      </c>
    </row>
    <row r="46" spans="5:6">
      <c r="E46" t="s">
        <v>925</v>
      </c>
      <c r="F46">
        <v>6265</v>
      </c>
    </row>
    <row r="47" spans="5:6">
      <c r="E47" t="s">
        <v>930</v>
      </c>
      <c r="F47">
        <v>4156</v>
      </c>
    </row>
    <row r="48" spans="5:6">
      <c r="E48" t="s">
        <v>908</v>
      </c>
      <c r="F48">
        <v>47399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4765B-6747-4E1A-BE6D-B9E830E809B0}">
  <dimension ref="A3:AC12"/>
  <sheetViews>
    <sheetView workbookViewId="0">
      <selection activeCell="AP43" sqref="AP43"/>
    </sheetView>
  </sheetViews>
  <sheetFormatPr defaultRowHeight="14.4"/>
  <cols>
    <col min="1" max="1" width="12.44140625" bestFit="1" customWidth="1"/>
    <col min="2" max="2" width="18.109375" bestFit="1" customWidth="1"/>
    <col min="3" max="3" width="15.21875" bestFit="1" customWidth="1"/>
    <col min="4" max="25" width="3" bestFit="1" customWidth="1"/>
    <col min="26" max="26" width="10.21875" bestFit="1" customWidth="1"/>
    <col min="27" max="27" width="11.5546875" bestFit="1" customWidth="1"/>
    <col min="28" max="29" width="15.109375" bestFit="1" customWidth="1"/>
    <col min="30" max="81" width="3" bestFit="1" customWidth="1"/>
    <col min="82" max="229" width="4" bestFit="1" customWidth="1"/>
    <col min="230" max="242" width="5" bestFit="1" customWidth="1"/>
    <col min="243" max="243" width="10.5546875" bestFit="1" customWidth="1"/>
  </cols>
  <sheetData>
    <row r="3" spans="1:29">
      <c r="A3" s="4" t="s">
        <v>943</v>
      </c>
      <c r="B3" t="s">
        <v>1201</v>
      </c>
      <c r="Z3" t="s">
        <v>905</v>
      </c>
      <c r="AA3" t="s">
        <v>1214</v>
      </c>
      <c r="AB3" t="s">
        <v>1216</v>
      </c>
      <c r="AC3" t="s">
        <v>1215</v>
      </c>
    </row>
    <row r="4" spans="1:29">
      <c r="A4" s="5" t="s">
        <v>913</v>
      </c>
      <c r="B4">
        <v>4.0095695824350788</v>
      </c>
      <c r="Z4" t="s">
        <v>1040</v>
      </c>
      <c r="AA4">
        <v>508</v>
      </c>
      <c r="AB4">
        <v>12.827320670202599</v>
      </c>
      <c r="AC4">
        <v>4.31102362204724</v>
      </c>
    </row>
    <row r="5" spans="1:29">
      <c r="A5" s="5" t="s">
        <v>920</v>
      </c>
      <c r="B5">
        <v>4.1477726193788946</v>
      </c>
      <c r="Z5" t="s">
        <v>1064</v>
      </c>
      <c r="AA5">
        <v>624</v>
      </c>
      <c r="AB5">
        <v>13.775602037333799</v>
      </c>
      <c r="AC5">
        <v>4.1586538461538396</v>
      </c>
    </row>
    <row r="6" spans="1:29">
      <c r="A6" s="5" t="s">
        <v>959</v>
      </c>
      <c r="B6">
        <v>4.1655204408963833</v>
      </c>
      <c r="Z6" t="s">
        <v>1045</v>
      </c>
      <c r="AA6">
        <v>884</v>
      </c>
      <c r="AB6">
        <v>12.532031276185601</v>
      </c>
      <c r="AC6">
        <v>4.0678733031674197</v>
      </c>
    </row>
    <row r="7" spans="1:29">
      <c r="A7" s="5" t="s">
        <v>925</v>
      </c>
      <c r="B7">
        <v>4.1736927521332206</v>
      </c>
      <c r="Z7" t="s">
        <v>925</v>
      </c>
      <c r="AA7">
        <v>2159</v>
      </c>
      <c r="AB7">
        <v>11.5374576653714</v>
      </c>
      <c r="AC7">
        <v>4.2524316813339498</v>
      </c>
    </row>
    <row r="8" spans="1:29">
      <c r="A8" s="5" t="s">
        <v>930</v>
      </c>
      <c r="B8">
        <v>4.0688609706204941</v>
      </c>
      <c r="Z8" t="s">
        <v>930</v>
      </c>
      <c r="AA8">
        <v>3988</v>
      </c>
      <c r="AB8">
        <v>13.5460221956378</v>
      </c>
      <c r="AC8">
        <v>4.13014042126379</v>
      </c>
    </row>
    <row r="9" spans="1:29">
      <c r="A9" s="5" t="s">
        <v>908</v>
      </c>
      <c r="B9">
        <v>4.0395869802546498</v>
      </c>
      <c r="Z9" t="s">
        <v>959</v>
      </c>
      <c r="AA9">
        <v>4666</v>
      </c>
      <c r="AB9">
        <v>11.9698288495578</v>
      </c>
      <c r="AC9">
        <v>4.1648092584654899</v>
      </c>
    </row>
    <row r="10" spans="1:29">
      <c r="A10" s="5" t="s">
        <v>944</v>
      </c>
      <c r="B10">
        <v>4.0593386369533055</v>
      </c>
      <c r="Z10" t="s">
        <v>920</v>
      </c>
      <c r="AA10">
        <v>8509</v>
      </c>
      <c r="AB10">
        <v>13.365511940244</v>
      </c>
      <c r="AC10">
        <v>4.1250440709836598</v>
      </c>
    </row>
    <row r="11" spans="1:29">
      <c r="Z11" t="s">
        <v>913</v>
      </c>
      <c r="AA11">
        <v>8580</v>
      </c>
      <c r="AB11">
        <v>12.6966391870089</v>
      </c>
      <c r="AC11">
        <v>4.1631701631701601</v>
      </c>
    </row>
    <row r="12" spans="1:29">
      <c r="Z12" t="s">
        <v>908</v>
      </c>
      <c r="AA12">
        <v>78475</v>
      </c>
      <c r="AB12">
        <v>12.2442902615541</v>
      </c>
      <c r="AC12">
        <v>4.0525899968142696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2C4D-9708-4051-8F50-AF91AE55E96C}">
  <dimension ref="A1:Q888"/>
  <sheetViews>
    <sheetView topLeftCell="B1" workbookViewId="0">
      <selection activeCell="G19" sqref="G19"/>
    </sheetView>
  </sheetViews>
  <sheetFormatPr defaultRowHeight="14.4"/>
  <cols>
    <col min="1" max="1" width="33.6640625" bestFit="1" customWidth="1"/>
    <col min="2" max="2" width="11.44140625" bestFit="1" customWidth="1"/>
    <col min="3" max="5" width="12" bestFit="1" customWidth="1"/>
    <col min="6" max="7" width="12" customWidth="1"/>
    <col min="8" max="8" width="13.109375" bestFit="1" customWidth="1"/>
    <col min="10" max="10" width="20" customWidth="1"/>
    <col min="11" max="11" width="33.6640625" bestFit="1" customWidth="1"/>
    <col min="12" max="12" width="12" bestFit="1" customWidth="1"/>
    <col min="13" max="13" width="11.44140625" bestFit="1" customWidth="1"/>
    <col min="14" max="14" width="12" bestFit="1" customWidth="1"/>
    <col min="15" max="15" width="11.44140625" bestFit="1" customWidth="1"/>
    <col min="16" max="16" width="14.5546875" bestFit="1" customWidth="1"/>
  </cols>
  <sheetData>
    <row r="1" spans="1:17" ht="31.2" customHeight="1">
      <c r="A1" t="s">
        <v>13</v>
      </c>
      <c r="B1" t="s">
        <v>904</v>
      </c>
      <c r="C1" t="s">
        <v>905</v>
      </c>
      <c r="D1" t="s">
        <v>15</v>
      </c>
      <c r="E1" t="s">
        <v>14</v>
      </c>
      <c r="F1" t="s">
        <v>1198</v>
      </c>
      <c r="G1" t="s">
        <v>1199</v>
      </c>
      <c r="H1" t="s">
        <v>1200</v>
      </c>
      <c r="I1" t="s">
        <v>942</v>
      </c>
      <c r="J1" s="3" t="s">
        <v>903</v>
      </c>
      <c r="K1" t="s">
        <v>13</v>
      </c>
      <c r="L1" t="s">
        <v>904</v>
      </c>
      <c r="M1" t="s">
        <v>905</v>
      </c>
      <c r="N1" t="s">
        <v>15</v>
      </c>
      <c r="O1" t="s">
        <v>14</v>
      </c>
      <c r="P1" t="s">
        <v>906</v>
      </c>
      <c r="Q1" t="s">
        <v>942</v>
      </c>
    </row>
    <row r="2" spans="1:17">
      <c r="A2" t="s">
        <v>715</v>
      </c>
      <c r="B2" t="s">
        <v>947</v>
      </c>
      <c r="C2" t="s">
        <v>948</v>
      </c>
      <c r="D2">
        <v>3.9025423728813502</v>
      </c>
      <c r="E2">
        <v>236</v>
      </c>
      <c r="F2">
        <v>171</v>
      </c>
      <c r="G2">
        <v>20</v>
      </c>
      <c r="H2">
        <v>45</v>
      </c>
      <c r="I2">
        <v>1</v>
      </c>
      <c r="K2" t="s">
        <v>229</v>
      </c>
      <c r="L2" t="s">
        <v>907</v>
      </c>
      <c r="M2" t="s">
        <v>908</v>
      </c>
      <c r="N2">
        <v>3.25</v>
      </c>
      <c r="O2">
        <v>24</v>
      </c>
      <c r="P2" t="s">
        <v>909</v>
      </c>
      <c r="Q2">
        <v>1</v>
      </c>
    </row>
    <row r="3" spans="1:17">
      <c r="A3" t="s">
        <v>37</v>
      </c>
      <c r="B3" t="s">
        <v>949</v>
      </c>
      <c r="C3" t="s">
        <v>908</v>
      </c>
      <c r="D3">
        <v>3.9821428571428501</v>
      </c>
      <c r="E3">
        <v>56</v>
      </c>
      <c r="F3">
        <v>39</v>
      </c>
      <c r="G3">
        <v>9</v>
      </c>
      <c r="H3">
        <v>8</v>
      </c>
      <c r="I3">
        <v>1</v>
      </c>
      <c r="K3" t="s">
        <v>841</v>
      </c>
      <c r="L3" t="s">
        <v>907</v>
      </c>
      <c r="M3" t="s">
        <v>908</v>
      </c>
      <c r="N3">
        <v>2.95</v>
      </c>
      <c r="O3">
        <v>20</v>
      </c>
      <c r="P3" t="s">
        <v>909</v>
      </c>
      <c r="Q3">
        <v>1</v>
      </c>
    </row>
    <row r="4" spans="1:17">
      <c r="A4" t="s">
        <v>206</v>
      </c>
      <c r="B4" t="s">
        <v>911</v>
      </c>
      <c r="C4" t="s">
        <v>908</v>
      </c>
      <c r="D4">
        <v>4.1329479768786097</v>
      </c>
      <c r="E4">
        <v>173</v>
      </c>
      <c r="F4">
        <v>130</v>
      </c>
      <c r="G4">
        <v>19</v>
      </c>
      <c r="H4">
        <v>24</v>
      </c>
      <c r="I4">
        <v>1</v>
      </c>
      <c r="K4" t="s">
        <v>370</v>
      </c>
      <c r="L4" t="s">
        <v>910</v>
      </c>
      <c r="M4" t="s">
        <v>908</v>
      </c>
      <c r="N4">
        <v>2.1985294117646998</v>
      </c>
      <c r="O4">
        <v>136</v>
      </c>
      <c r="P4" t="s">
        <v>909</v>
      </c>
      <c r="Q4">
        <v>1</v>
      </c>
    </row>
    <row r="5" spans="1:17">
      <c r="A5" t="s">
        <v>699</v>
      </c>
      <c r="B5" t="s">
        <v>938</v>
      </c>
      <c r="C5" t="s">
        <v>908</v>
      </c>
      <c r="D5">
        <v>3.6538461538461502</v>
      </c>
      <c r="E5">
        <v>26</v>
      </c>
      <c r="F5">
        <v>15</v>
      </c>
      <c r="G5">
        <v>7</v>
      </c>
      <c r="H5">
        <v>4</v>
      </c>
      <c r="I5">
        <v>1</v>
      </c>
      <c r="K5" t="s">
        <v>223</v>
      </c>
      <c r="L5" t="s">
        <v>911</v>
      </c>
      <c r="M5" t="s">
        <v>908</v>
      </c>
      <c r="N5">
        <v>3.1923076923076898</v>
      </c>
      <c r="O5">
        <v>26</v>
      </c>
      <c r="P5" t="s">
        <v>909</v>
      </c>
      <c r="Q5">
        <v>1</v>
      </c>
    </row>
    <row r="6" spans="1:17">
      <c r="A6" t="s">
        <v>393</v>
      </c>
      <c r="B6" t="s">
        <v>907</v>
      </c>
      <c r="C6" t="s">
        <v>908</v>
      </c>
      <c r="D6">
        <v>4.3313953488371997</v>
      </c>
      <c r="E6">
        <v>172</v>
      </c>
      <c r="F6">
        <v>145</v>
      </c>
      <c r="G6">
        <v>10</v>
      </c>
      <c r="H6">
        <v>17</v>
      </c>
      <c r="I6">
        <v>1</v>
      </c>
      <c r="K6" t="s">
        <v>666</v>
      </c>
      <c r="L6" t="s">
        <v>907</v>
      </c>
      <c r="M6" t="s">
        <v>908</v>
      </c>
      <c r="N6">
        <v>2.5652173913043401</v>
      </c>
      <c r="O6">
        <v>46</v>
      </c>
      <c r="P6" t="s">
        <v>909</v>
      </c>
      <c r="Q6">
        <v>1</v>
      </c>
    </row>
    <row r="7" spans="1:17">
      <c r="A7" t="s">
        <v>268</v>
      </c>
      <c r="B7" t="s">
        <v>950</v>
      </c>
      <c r="C7" t="s">
        <v>920</v>
      </c>
      <c r="D7">
        <v>3.7375886524822599</v>
      </c>
      <c r="E7">
        <v>141</v>
      </c>
      <c r="F7">
        <v>94</v>
      </c>
      <c r="G7">
        <v>11</v>
      </c>
      <c r="H7">
        <v>36</v>
      </c>
      <c r="I7">
        <v>1</v>
      </c>
      <c r="K7" t="s">
        <v>395</v>
      </c>
      <c r="L7" t="s">
        <v>912</v>
      </c>
      <c r="M7" t="s">
        <v>913</v>
      </c>
      <c r="N7">
        <v>3</v>
      </c>
      <c r="O7">
        <v>54</v>
      </c>
      <c r="P7" t="s">
        <v>909</v>
      </c>
      <c r="Q7">
        <v>1</v>
      </c>
    </row>
    <row r="8" spans="1:17">
      <c r="A8" s="2" t="s">
        <v>340</v>
      </c>
      <c r="B8" t="s">
        <v>919</v>
      </c>
      <c r="C8" t="s">
        <v>920</v>
      </c>
      <c r="D8">
        <v>4.7307692307692299</v>
      </c>
      <c r="E8">
        <v>26</v>
      </c>
      <c r="F8">
        <v>24</v>
      </c>
      <c r="G8">
        <v>1</v>
      </c>
      <c r="H8">
        <v>1</v>
      </c>
      <c r="I8">
        <v>1</v>
      </c>
      <c r="K8" t="s">
        <v>752</v>
      </c>
      <c r="L8" t="s">
        <v>914</v>
      </c>
      <c r="M8" t="s">
        <v>908</v>
      </c>
      <c r="N8">
        <v>2.7129186602870798</v>
      </c>
      <c r="O8">
        <v>209</v>
      </c>
      <c r="P8" t="s">
        <v>909</v>
      </c>
      <c r="Q8">
        <v>1</v>
      </c>
    </row>
    <row r="9" spans="1:17">
      <c r="A9" t="s">
        <v>671</v>
      </c>
      <c r="B9" t="s">
        <v>911</v>
      </c>
      <c r="C9" t="s">
        <v>908</v>
      </c>
      <c r="D9">
        <v>4.0256410256410202</v>
      </c>
      <c r="E9">
        <v>39</v>
      </c>
      <c r="F9">
        <v>28</v>
      </c>
      <c r="G9">
        <v>4</v>
      </c>
      <c r="H9">
        <v>7</v>
      </c>
      <c r="I9">
        <v>1</v>
      </c>
      <c r="K9" t="s">
        <v>214</v>
      </c>
      <c r="L9" t="s">
        <v>907</v>
      </c>
      <c r="M9" t="s">
        <v>908</v>
      </c>
      <c r="N9">
        <v>4.8499999999999996</v>
      </c>
      <c r="O9">
        <v>20</v>
      </c>
      <c r="P9" t="s">
        <v>915</v>
      </c>
      <c r="Q9">
        <v>1</v>
      </c>
    </row>
    <row r="10" spans="1:17">
      <c r="A10" t="s">
        <v>902</v>
      </c>
      <c r="B10" t="s">
        <v>951</v>
      </c>
      <c r="C10" t="s">
        <v>920</v>
      </c>
      <c r="D10">
        <v>4.2121212121212102</v>
      </c>
      <c r="E10">
        <v>66</v>
      </c>
      <c r="F10">
        <v>54</v>
      </c>
      <c r="G10">
        <v>5</v>
      </c>
      <c r="H10">
        <v>7</v>
      </c>
      <c r="I10">
        <v>1</v>
      </c>
      <c r="K10" t="s">
        <v>396</v>
      </c>
      <c r="L10" t="s">
        <v>916</v>
      </c>
      <c r="M10" t="s">
        <v>908</v>
      </c>
      <c r="N10">
        <v>4.9615384615384599</v>
      </c>
      <c r="O10">
        <v>26</v>
      </c>
      <c r="P10" t="s">
        <v>915</v>
      </c>
      <c r="Q10">
        <v>1</v>
      </c>
    </row>
    <row r="11" spans="1:17">
      <c r="A11" t="s">
        <v>231</v>
      </c>
      <c r="B11" t="s">
        <v>952</v>
      </c>
      <c r="C11" t="s">
        <v>908</v>
      </c>
      <c r="D11">
        <v>4.3076923076923004</v>
      </c>
      <c r="E11">
        <v>39</v>
      </c>
      <c r="F11">
        <v>33</v>
      </c>
      <c r="G11">
        <v>1</v>
      </c>
      <c r="H11">
        <v>5</v>
      </c>
      <c r="I11">
        <v>1</v>
      </c>
      <c r="K11" t="s">
        <v>620</v>
      </c>
      <c r="L11" t="s">
        <v>917</v>
      </c>
      <c r="M11" t="s">
        <v>918</v>
      </c>
      <c r="N11">
        <v>4.9565217391304301</v>
      </c>
      <c r="O11">
        <v>23</v>
      </c>
      <c r="P11" t="s">
        <v>915</v>
      </c>
      <c r="Q11">
        <v>1</v>
      </c>
    </row>
    <row r="12" spans="1:17">
      <c r="A12" t="s">
        <v>720</v>
      </c>
      <c r="B12" t="s">
        <v>953</v>
      </c>
      <c r="C12" t="s">
        <v>920</v>
      </c>
      <c r="D12">
        <v>4.3461538461538396</v>
      </c>
      <c r="E12">
        <v>130</v>
      </c>
      <c r="F12">
        <v>109</v>
      </c>
      <c r="G12">
        <v>13</v>
      </c>
      <c r="H12">
        <v>8</v>
      </c>
      <c r="I12">
        <v>1</v>
      </c>
      <c r="K12" t="s">
        <v>582</v>
      </c>
      <c r="L12" t="s">
        <v>919</v>
      </c>
      <c r="M12" t="s">
        <v>920</v>
      </c>
      <c r="N12">
        <v>5</v>
      </c>
      <c r="O12">
        <v>34</v>
      </c>
      <c r="P12" t="s">
        <v>915</v>
      </c>
      <c r="Q12">
        <v>1</v>
      </c>
    </row>
    <row r="13" spans="1:17">
      <c r="A13" t="s">
        <v>397</v>
      </c>
      <c r="B13" t="s">
        <v>919</v>
      </c>
      <c r="C13" t="s">
        <v>920</v>
      </c>
      <c r="D13">
        <v>4.2782258064516103</v>
      </c>
      <c r="E13">
        <v>248</v>
      </c>
      <c r="F13">
        <v>205</v>
      </c>
      <c r="G13">
        <v>12</v>
      </c>
      <c r="H13">
        <v>31</v>
      </c>
      <c r="I13">
        <v>1</v>
      </c>
      <c r="K13" t="s">
        <v>434</v>
      </c>
      <c r="L13" t="s">
        <v>911</v>
      </c>
      <c r="M13" t="s">
        <v>908</v>
      </c>
      <c r="N13">
        <v>3.1111111111111098</v>
      </c>
      <c r="O13">
        <v>27</v>
      </c>
      <c r="P13" t="s">
        <v>909</v>
      </c>
      <c r="Q13">
        <v>1</v>
      </c>
    </row>
    <row r="14" spans="1:17">
      <c r="A14" t="s">
        <v>490</v>
      </c>
      <c r="B14" t="s">
        <v>916</v>
      </c>
      <c r="C14" t="s">
        <v>908</v>
      </c>
      <c r="D14">
        <v>4.5416666666666599</v>
      </c>
      <c r="E14">
        <v>24</v>
      </c>
      <c r="F14">
        <v>20</v>
      </c>
      <c r="G14">
        <v>2</v>
      </c>
      <c r="H14">
        <v>2</v>
      </c>
      <c r="I14">
        <v>1</v>
      </c>
      <c r="K14" t="s">
        <v>464</v>
      </c>
      <c r="L14" t="s">
        <v>921</v>
      </c>
      <c r="M14" t="s">
        <v>908</v>
      </c>
      <c r="N14">
        <v>3.07894736842105</v>
      </c>
      <c r="O14">
        <v>76</v>
      </c>
      <c r="P14" t="s">
        <v>909</v>
      </c>
      <c r="Q14">
        <v>1</v>
      </c>
    </row>
    <row r="15" spans="1:17">
      <c r="A15" t="s">
        <v>742</v>
      </c>
      <c r="B15" t="s">
        <v>919</v>
      </c>
      <c r="C15" t="s">
        <v>920</v>
      </c>
      <c r="D15">
        <v>4.8333333333333304</v>
      </c>
      <c r="E15">
        <v>30</v>
      </c>
      <c r="F15">
        <v>29</v>
      </c>
      <c r="G15">
        <v>0</v>
      </c>
      <c r="H15">
        <v>1</v>
      </c>
      <c r="I15">
        <v>1</v>
      </c>
      <c r="K15" t="s">
        <v>287</v>
      </c>
      <c r="L15" t="s">
        <v>922</v>
      </c>
      <c r="M15" t="s">
        <v>920</v>
      </c>
      <c r="N15">
        <v>2.93827160493827</v>
      </c>
      <c r="O15">
        <v>81</v>
      </c>
      <c r="P15" t="s">
        <v>909</v>
      </c>
      <c r="Q15">
        <v>1</v>
      </c>
    </row>
    <row r="16" spans="1:17">
      <c r="A16" t="s">
        <v>127</v>
      </c>
      <c r="B16" t="s">
        <v>954</v>
      </c>
      <c r="C16" t="s">
        <v>908</v>
      </c>
      <c r="D16">
        <v>4.5581395348837201</v>
      </c>
      <c r="E16">
        <v>43</v>
      </c>
      <c r="F16">
        <v>39</v>
      </c>
      <c r="G16">
        <v>2</v>
      </c>
      <c r="H16">
        <v>2</v>
      </c>
      <c r="I16">
        <v>1</v>
      </c>
      <c r="K16" t="s">
        <v>757</v>
      </c>
      <c r="L16" t="s">
        <v>923</v>
      </c>
      <c r="M16" t="s">
        <v>913</v>
      </c>
      <c r="N16">
        <v>2.3333333333333299</v>
      </c>
      <c r="O16">
        <v>21</v>
      </c>
      <c r="P16" t="s">
        <v>909</v>
      </c>
      <c r="Q16">
        <v>1</v>
      </c>
    </row>
    <row r="17" spans="1:17">
      <c r="A17" t="s">
        <v>803</v>
      </c>
      <c r="B17" t="s">
        <v>955</v>
      </c>
      <c r="C17" t="s">
        <v>930</v>
      </c>
      <c r="D17">
        <v>3.8829787234042499</v>
      </c>
      <c r="E17">
        <v>94</v>
      </c>
      <c r="F17">
        <v>68</v>
      </c>
      <c r="G17">
        <v>6</v>
      </c>
      <c r="H17">
        <v>20</v>
      </c>
      <c r="I17">
        <v>1</v>
      </c>
      <c r="K17" t="s">
        <v>495</v>
      </c>
      <c r="L17" t="s">
        <v>911</v>
      </c>
      <c r="M17" t="s">
        <v>908</v>
      </c>
      <c r="N17">
        <v>2.9322033898305002</v>
      </c>
      <c r="O17">
        <v>59</v>
      </c>
      <c r="P17" t="s">
        <v>909</v>
      </c>
      <c r="Q17">
        <v>1</v>
      </c>
    </row>
    <row r="18" spans="1:17">
      <c r="A18" t="s">
        <v>354</v>
      </c>
      <c r="B18" t="s">
        <v>956</v>
      </c>
      <c r="C18" t="s">
        <v>908</v>
      </c>
      <c r="D18">
        <v>4.4777777777777699</v>
      </c>
      <c r="E18">
        <v>90</v>
      </c>
      <c r="F18">
        <v>80</v>
      </c>
      <c r="G18">
        <v>2</v>
      </c>
      <c r="H18">
        <v>8</v>
      </c>
      <c r="I18">
        <v>1</v>
      </c>
      <c r="K18" t="s">
        <v>782</v>
      </c>
      <c r="L18" t="s">
        <v>924</v>
      </c>
      <c r="M18" t="s">
        <v>925</v>
      </c>
      <c r="N18">
        <v>2.9047619047619002</v>
      </c>
      <c r="O18">
        <v>21</v>
      </c>
      <c r="P18" t="s">
        <v>909</v>
      </c>
      <c r="Q18">
        <v>1</v>
      </c>
    </row>
    <row r="19" spans="1:17">
      <c r="A19" t="s">
        <v>795</v>
      </c>
      <c r="B19" t="s">
        <v>949</v>
      </c>
      <c r="C19" t="s">
        <v>908</v>
      </c>
      <c r="D19">
        <v>4.18</v>
      </c>
      <c r="E19">
        <v>50</v>
      </c>
      <c r="F19">
        <v>40</v>
      </c>
      <c r="G19">
        <v>2</v>
      </c>
      <c r="H19">
        <v>8</v>
      </c>
      <c r="I19">
        <v>1</v>
      </c>
      <c r="K19" t="s">
        <v>802</v>
      </c>
      <c r="L19" t="s">
        <v>926</v>
      </c>
      <c r="M19" t="s">
        <v>913</v>
      </c>
      <c r="N19">
        <v>3.07339449541284</v>
      </c>
      <c r="O19">
        <v>109</v>
      </c>
      <c r="P19" t="s">
        <v>909</v>
      </c>
      <c r="Q19">
        <v>1</v>
      </c>
    </row>
    <row r="20" spans="1:17">
      <c r="A20" t="s">
        <v>25</v>
      </c>
      <c r="B20" t="s">
        <v>907</v>
      </c>
      <c r="C20" t="s">
        <v>908</v>
      </c>
      <c r="D20">
        <v>3.7857142857142798</v>
      </c>
      <c r="E20">
        <v>28</v>
      </c>
      <c r="F20">
        <v>20</v>
      </c>
      <c r="G20">
        <v>3</v>
      </c>
      <c r="H20">
        <v>5</v>
      </c>
      <c r="I20">
        <v>1</v>
      </c>
      <c r="K20" t="s">
        <v>622</v>
      </c>
      <c r="L20" t="s">
        <v>927</v>
      </c>
      <c r="M20" t="s">
        <v>908</v>
      </c>
      <c r="N20">
        <v>3.0150375939849599</v>
      </c>
      <c r="O20">
        <v>133</v>
      </c>
      <c r="P20" t="s">
        <v>909</v>
      </c>
      <c r="Q20">
        <v>1</v>
      </c>
    </row>
    <row r="21" spans="1:17">
      <c r="A21" t="s">
        <v>423</v>
      </c>
      <c r="B21" t="s">
        <v>912</v>
      </c>
      <c r="C21" t="s">
        <v>913</v>
      </c>
      <c r="D21">
        <v>4.5</v>
      </c>
      <c r="E21">
        <v>96</v>
      </c>
      <c r="F21">
        <v>84</v>
      </c>
      <c r="G21">
        <v>11</v>
      </c>
      <c r="H21">
        <v>1</v>
      </c>
      <c r="I21">
        <v>1</v>
      </c>
      <c r="K21" t="s">
        <v>228</v>
      </c>
      <c r="L21" t="s">
        <v>928</v>
      </c>
      <c r="M21" t="s">
        <v>913</v>
      </c>
      <c r="N21">
        <v>3.1764705882352899</v>
      </c>
      <c r="O21">
        <v>68</v>
      </c>
      <c r="P21" t="s">
        <v>909</v>
      </c>
      <c r="Q21">
        <v>1</v>
      </c>
    </row>
    <row r="22" spans="1:17">
      <c r="A22" t="s">
        <v>242</v>
      </c>
      <c r="B22" t="s">
        <v>957</v>
      </c>
      <c r="C22" t="s">
        <v>908</v>
      </c>
      <c r="D22">
        <v>3.3636363636363602</v>
      </c>
      <c r="E22">
        <v>22</v>
      </c>
      <c r="F22">
        <v>12</v>
      </c>
      <c r="G22">
        <v>3</v>
      </c>
      <c r="H22">
        <v>7</v>
      </c>
      <c r="I22">
        <v>1</v>
      </c>
      <c r="K22" t="s">
        <v>449</v>
      </c>
      <c r="L22" t="s">
        <v>929</v>
      </c>
      <c r="M22" t="s">
        <v>930</v>
      </c>
      <c r="N22">
        <v>2.96428571428571</v>
      </c>
      <c r="O22">
        <v>84</v>
      </c>
      <c r="P22" t="s">
        <v>909</v>
      </c>
      <c r="Q22">
        <v>1</v>
      </c>
    </row>
    <row r="23" spans="1:17">
      <c r="A23" t="s">
        <v>32</v>
      </c>
      <c r="B23" t="s">
        <v>958</v>
      </c>
      <c r="C23" t="s">
        <v>959</v>
      </c>
      <c r="D23">
        <v>4.12307692307692</v>
      </c>
      <c r="E23">
        <v>65</v>
      </c>
      <c r="F23">
        <v>54</v>
      </c>
      <c r="G23">
        <v>1</v>
      </c>
      <c r="H23">
        <v>10</v>
      </c>
      <c r="I23">
        <v>1</v>
      </c>
      <c r="K23" t="s">
        <v>428</v>
      </c>
      <c r="L23" t="s">
        <v>931</v>
      </c>
      <c r="M23" t="s">
        <v>913</v>
      </c>
      <c r="N23">
        <v>2.3333333333333299</v>
      </c>
      <c r="O23">
        <v>21</v>
      </c>
      <c r="P23" t="s">
        <v>909</v>
      </c>
      <c r="Q23">
        <v>1</v>
      </c>
    </row>
    <row r="24" spans="1:17">
      <c r="A24" t="s">
        <v>685</v>
      </c>
      <c r="B24" t="s">
        <v>916</v>
      </c>
      <c r="C24" t="s">
        <v>908</v>
      </c>
      <c r="D24">
        <v>4.3846153846153797</v>
      </c>
      <c r="E24">
        <v>65</v>
      </c>
      <c r="F24">
        <v>54</v>
      </c>
      <c r="G24">
        <v>5</v>
      </c>
      <c r="H24">
        <v>6</v>
      </c>
      <c r="I24">
        <v>1</v>
      </c>
      <c r="K24" t="s">
        <v>376</v>
      </c>
      <c r="L24" t="s">
        <v>907</v>
      </c>
      <c r="M24" t="s">
        <v>908</v>
      </c>
      <c r="N24">
        <v>2.9528301886792399</v>
      </c>
      <c r="O24">
        <v>106</v>
      </c>
      <c r="P24" t="s">
        <v>909</v>
      </c>
      <c r="Q24">
        <v>1</v>
      </c>
    </row>
    <row r="25" spans="1:17">
      <c r="A25" t="s">
        <v>855</v>
      </c>
      <c r="B25" t="s">
        <v>960</v>
      </c>
      <c r="C25" t="s">
        <v>913</v>
      </c>
      <c r="D25">
        <v>4</v>
      </c>
      <c r="E25">
        <v>64</v>
      </c>
      <c r="F25">
        <v>49</v>
      </c>
      <c r="G25">
        <v>4</v>
      </c>
      <c r="H25">
        <v>11</v>
      </c>
      <c r="I25">
        <v>1</v>
      </c>
      <c r="K25" t="s">
        <v>650</v>
      </c>
      <c r="L25" t="s">
        <v>932</v>
      </c>
      <c r="M25" t="s">
        <v>908</v>
      </c>
      <c r="N25">
        <v>3.0681818181818099</v>
      </c>
      <c r="O25">
        <v>44</v>
      </c>
      <c r="P25" t="s">
        <v>909</v>
      </c>
      <c r="Q25">
        <v>1</v>
      </c>
    </row>
    <row r="26" spans="1:17">
      <c r="A26" t="s">
        <v>477</v>
      </c>
      <c r="B26" t="s">
        <v>912</v>
      </c>
      <c r="C26" t="s">
        <v>913</v>
      </c>
      <c r="D26">
        <v>4.0952380952380896</v>
      </c>
      <c r="E26">
        <v>63</v>
      </c>
      <c r="F26">
        <v>52</v>
      </c>
      <c r="G26">
        <v>0</v>
      </c>
      <c r="H26">
        <v>11</v>
      </c>
      <c r="I26">
        <v>1</v>
      </c>
      <c r="K26" t="s">
        <v>481</v>
      </c>
      <c r="L26" t="s">
        <v>931</v>
      </c>
      <c r="M26" t="s">
        <v>913</v>
      </c>
      <c r="N26">
        <v>3.1315789473684199</v>
      </c>
      <c r="O26">
        <v>38</v>
      </c>
      <c r="P26" t="s">
        <v>909</v>
      </c>
      <c r="Q26">
        <v>1</v>
      </c>
    </row>
    <row r="27" spans="1:17">
      <c r="A27" t="s">
        <v>438</v>
      </c>
      <c r="B27" t="s">
        <v>961</v>
      </c>
      <c r="C27" t="s">
        <v>925</v>
      </c>
      <c r="D27">
        <v>4.171875</v>
      </c>
      <c r="E27">
        <v>64</v>
      </c>
      <c r="F27">
        <v>45</v>
      </c>
      <c r="G27">
        <v>15</v>
      </c>
      <c r="H27">
        <v>4</v>
      </c>
      <c r="I27">
        <v>1</v>
      </c>
      <c r="K27" t="s">
        <v>58</v>
      </c>
      <c r="L27" t="s">
        <v>933</v>
      </c>
      <c r="M27" t="s">
        <v>913</v>
      </c>
      <c r="N27">
        <v>2.7916666666666599</v>
      </c>
      <c r="O27">
        <v>24</v>
      </c>
      <c r="P27" t="s">
        <v>909</v>
      </c>
      <c r="Q27">
        <v>1</v>
      </c>
    </row>
    <row r="28" spans="1:17">
      <c r="A28" t="s">
        <v>83</v>
      </c>
      <c r="B28" t="s">
        <v>962</v>
      </c>
      <c r="C28" t="s">
        <v>925</v>
      </c>
      <c r="D28">
        <v>3.9666666666666601</v>
      </c>
      <c r="E28">
        <v>60</v>
      </c>
      <c r="F28">
        <v>43</v>
      </c>
      <c r="G28">
        <v>9</v>
      </c>
      <c r="H28">
        <v>8</v>
      </c>
      <c r="I28">
        <v>1</v>
      </c>
      <c r="K28" t="s">
        <v>119</v>
      </c>
      <c r="L28" t="s">
        <v>934</v>
      </c>
      <c r="M28" t="s">
        <v>935</v>
      </c>
      <c r="N28">
        <v>4.95</v>
      </c>
      <c r="O28">
        <v>20</v>
      </c>
      <c r="P28" t="s">
        <v>915</v>
      </c>
      <c r="Q28">
        <v>1</v>
      </c>
    </row>
    <row r="29" spans="1:17">
      <c r="A29" t="s">
        <v>257</v>
      </c>
      <c r="B29" t="s">
        <v>963</v>
      </c>
      <c r="C29" t="s">
        <v>908</v>
      </c>
      <c r="D29">
        <v>3.76388888888888</v>
      </c>
      <c r="E29">
        <v>72</v>
      </c>
      <c r="F29">
        <v>51</v>
      </c>
      <c r="G29">
        <v>3</v>
      </c>
      <c r="H29">
        <v>18</v>
      </c>
      <c r="I29">
        <v>1</v>
      </c>
      <c r="K29" t="s">
        <v>859</v>
      </c>
      <c r="L29" t="s">
        <v>911</v>
      </c>
      <c r="M29" t="s">
        <v>908</v>
      </c>
      <c r="N29">
        <v>3.2857142857142798</v>
      </c>
      <c r="O29">
        <v>133</v>
      </c>
      <c r="P29" t="s">
        <v>909</v>
      </c>
      <c r="Q29">
        <v>1</v>
      </c>
    </row>
    <row r="30" spans="1:17">
      <c r="A30" t="s">
        <v>846</v>
      </c>
      <c r="B30" t="s">
        <v>922</v>
      </c>
      <c r="C30" t="s">
        <v>920</v>
      </c>
      <c r="D30">
        <v>3.9726027397260202</v>
      </c>
      <c r="E30">
        <v>73</v>
      </c>
      <c r="F30">
        <v>55</v>
      </c>
      <c r="G30">
        <v>7</v>
      </c>
      <c r="H30">
        <v>11</v>
      </c>
      <c r="I30">
        <v>1</v>
      </c>
      <c r="K30" t="s">
        <v>856</v>
      </c>
      <c r="L30" t="s">
        <v>907</v>
      </c>
      <c r="M30" t="s">
        <v>908</v>
      </c>
      <c r="N30">
        <v>2.6578947368421</v>
      </c>
      <c r="O30">
        <v>38</v>
      </c>
      <c r="P30" t="s">
        <v>909</v>
      </c>
      <c r="Q30">
        <v>1</v>
      </c>
    </row>
    <row r="31" spans="1:17">
      <c r="A31" t="s">
        <v>502</v>
      </c>
      <c r="B31" t="s">
        <v>953</v>
      </c>
      <c r="C31" t="s">
        <v>920</v>
      </c>
      <c r="D31">
        <v>4</v>
      </c>
      <c r="E31">
        <v>54</v>
      </c>
      <c r="F31">
        <v>41</v>
      </c>
      <c r="G31">
        <v>3</v>
      </c>
      <c r="H31">
        <v>10</v>
      </c>
      <c r="I31">
        <v>1</v>
      </c>
      <c r="K31" t="s">
        <v>331</v>
      </c>
      <c r="L31" t="s">
        <v>907</v>
      </c>
      <c r="M31" t="s">
        <v>908</v>
      </c>
      <c r="N31">
        <v>3.0357142857142798</v>
      </c>
      <c r="O31">
        <v>84</v>
      </c>
      <c r="P31" t="s">
        <v>909</v>
      </c>
      <c r="Q31">
        <v>1</v>
      </c>
    </row>
    <row r="32" spans="1:17">
      <c r="A32" t="s">
        <v>858</v>
      </c>
      <c r="B32" t="s">
        <v>964</v>
      </c>
      <c r="C32" t="s">
        <v>965</v>
      </c>
      <c r="D32">
        <v>4.0025062656641603</v>
      </c>
      <c r="E32">
        <v>399</v>
      </c>
      <c r="F32">
        <v>301</v>
      </c>
      <c r="G32">
        <v>33</v>
      </c>
      <c r="H32">
        <v>65</v>
      </c>
      <c r="I32">
        <v>1</v>
      </c>
      <c r="K32" t="s">
        <v>565</v>
      </c>
      <c r="L32" t="s">
        <v>916</v>
      </c>
      <c r="M32" t="s">
        <v>908</v>
      </c>
      <c r="N32">
        <v>3.28</v>
      </c>
      <c r="O32">
        <v>25</v>
      </c>
      <c r="P32" t="s">
        <v>909</v>
      </c>
      <c r="Q32">
        <v>1</v>
      </c>
    </row>
    <row r="33" spans="1:17">
      <c r="A33" t="s">
        <v>249</v>
      </c>
      <c r="B33" t="s">
        <v>950</v>
      </c>
      <c r="C33" t="s">
        <v>920</v>
      </c>
      <c r="D33">
        <v>4.36666666666666</v>
      </c>
      <c r="E33">
        <v>30</v>
      </c>
      <c r="F33">
        <v>26</v>
      </c>
      <c r="G33">
        <v>2</v>
      </c>
      <c r="H33">
        <v>2</v>
      </c>
      <c r="I33">
        <v>1</v>
      </c>
      <c r="K33" t="s">
        <v>496</v>
      </c>
      <c r="L33" t="s">
        <v>936</v>
      </c>
      <c r="M33" t="s">
        <v>925</v>
      </c>
      <c r="N33">
        <v>3</v>
      </c>
      <c r="O33">
        <v>28</v>
      </c>
      <c r="P33" t="s">
        <v>909</v>
      </c>
      <c r="Q33">
        <v>1</v>
      </c>
    </row>
    <row r="34" spans="1:17">
      <c r="A34" t="s">
        <v>22</v>
      </c>
      <c r="B34" t="s">
        <v>966</v>
      </c>
      <c r="C34" t="s">
        <v>925</v>
      </c>
      <c r="D34">
        <v>3.9032258064516099</v>
      </c>
      <c r="E34">
        <v>93</v>
      </c>
      <c r="F34">
        <v>68</v>
      </c>
      <c r="G34">
        <v>10</v>
      </c>
      <c r="H34">
        <v>15</v>
      </c>
      <c r="I34">
        <v>1</v>
      </c>
      <c r="K34" t="s">
        <v>876</v>
      </c>
      <c r="L34" t="s">
        <v>937</v>
      </c>
      <c r="M34" t="s">
        <v>908</v>
      </c>
      <c r="N34">
        <v>3.24242424242424</v>
      </c>
      <c r="O34">
        <v>33</v>
      </c>
      <c r="P34" t="s">
        <v>909</v>
      </c>
      <c r="Q34">
        <v>1</v>
      </c>
    </row>
    <row r="35" spans="1:17">
      <c r="A35" t="s">
        <v>569</v>
      </c>
      <c r="B35" t="s">
        <v>907</v>
      </c>
      <c r="C35" t="s">
        <v>908</v>
      </c>
      <c r="D35">
        <v>3.5</v>
      </c>
      <c r="E35">
        <v>38</v>
      </c>
      <c r="F35">
        <v>23</v>
      </c>
      <c r="G35">
        <v>3</v>
      </c>
      <c r="H35">
        <v>12</v>
      </c>
      <c r="I35">
        <v>1</v>
      </c>
      <c r="K35" t="s">
        <v>75</v>
      </c>
      <c r="L35" t="s">
        <v>907</v>
      </c>
      <c r="M35" t="s">
        <v>908</v>
      </c>
      <c r="N35">
        <v>3.1346153846153801</v>
      </c>
      <c r="O35">
        <v>52</v>
      </c>
      <c r="P35" t="s">
        <v>909</v>
      </c>
      <c r="Q35">
        <v>1</v>
      </c>
    </row>
    <row r="36" spans="1:17">
      <c r="A36" t="s">
        <v>751</v>
      </c>
      <c r="B36" t="s">
        <v>938</v>
      </c>
      <c r="C36" t="s">
        <v>908</v>
      </c>
      <c r="D36">
        <v>3.5750000000000002</v>
      </c>
      <c r="E36">
        <v>40</v>
      </c>
      <c r="F36">
        <v>23</v>
      </c>
      <c r="G36">
        <v>4</v>
      </c>
      <c r="H36">
        <v>13</v>
      </c>
      <c r="I36">
        <v>1</v>
      </c>
      <c r="K36" t="s">
        <v>157</v>
      </c>
      <c r="L36" t="s">
        <v>938</v>
      </c>
      <c r="M36" t="s">
        <v>908</v>
      </c>
      <c r="N36">
        <v>2.8</v>
      </c>
      <c r="O36">
        <v>20</v>
      </c>
      <c r="P36" t="s">
        <v>909</v>
      </c>
      <c r="Q36">
        <v>1</v>
      </c>
    </row>
    <row r="37" spans="1:17">
      <c r="A37" t="s">
        <v>229</v>
      </c>
      <c r="B37" t="s">
        <v>907</v>
      </c>
      <c r="C37" t="s">
        <v>908</v>
      </c>
      <c r="D37">
        <v>3.25</v>
      </c>
      <c r="E37">
        <v>24</v>
      </c>
      <c r="F37">
        <v>14</v>
      </c>
      <c r="G37">
        <v>0</v>
      </c>
      <c r="H37">
        <v>10</v>
      </c>
      <c r="I37">
        <v>1</v>
      </c>
      <c r="K37" t="s">
        <v>45</v>
      </c>
      <c r="L37" t="s">
        <v>916</v>
      </c>
      <c r="M37" t="s">
        <v>908</v>
      </c>
      <c r="N37">
        <v>3.1111111111111098</v>
      </c>
      <c r="O37">
        <v>63</v>
      </c>
      <c r="P37" t="s">
        <v>909</v>
      </c>
      <c r="Q37">
        <v>1</v>
      </c>
    </row>
    <row r="38" spans="1:17">
      <c r="A38" t="s">
        <v>254</v>
      </c>
      <c r="B38" t="s">
        <v>912</v>
      </c>
      <c r="C38" t="s">
        <v>913</v>
      </c>
      <c r="D38">
        <v>4.4923076923076897</v>
      </c>
      <c r="E38">
        <v>130</v>
      </c>
      <c r="F38">
        <v>112</v>
      </c>
      <c r="G38">
        <v>12</v>
      </c>
      <c r="H38">
        <v>6</v>
      </c>
      <c r="I38">
        <v>1</v>
      </c>
      <c r="K38" t="s">
        <v>215</v>
      </c>
      <c r="L38" t="s">
        <v>939</v>
      </c>
      <c r="M38" t="s">
        <v>908</v>
      </c>
      <c r="N38">
        <v>2.6857142857142802</v>
      </c>
      <c r="O38">
        <v>35</v>
      </c>
      <c r="P38" t="s">
        <v>909</v>
      </c>
      <c r="Q38">
        <v>1</v>
      </c>
    </row>
    <row r="39" spans="1:17">
      <c r="A39" t="s">
        <v>255</v>
      </c>
      <c r="B39" t="s">
        <v>937</v>
      </c>
      <c r="C39" t="s">
        <v>908</v>
      </c>
      <c r="D39">
        <v>4.6097560975609699</v>
      </c>
      <c r="E39">
        <v>82</v>
      </c>
      <c r="F39">
        <v>78</v>
      </c>
      <c r="G39">
        <v>3</v>
      </c>
      <c r="H39">
        <v>1</v>
      </c>
      <c r="I39">
        <v>1</v>
      </c>
      <c r="K39" t="s">
        <v>494</v>
      </c>
      <c r="L39" t="s">
        <v>940</v>
      </c>
      <c r="M39" t="s">
        <v>920</v>
      </c>
      <c r="N39">
        <v>3.0909090909090899</v>
      </c>
      <c r="O39">
        <v>22</v>
      </c>
      <c r="P39" t="s">
        <v>909</v>
      </c>
      <c r="Q39">
        <v>1</v>
      </c>
    </row>
    <row r="40" spans="1:17">
      <c r="A40" t="s">
        <v>542</v>
      </c>
      <c r="B40" t="s">
        <v>954</v>
      </c>
      <c r="C40" t="s">
        <v>908</v>
      </c>
      <c r="D40">
        <v>3.3043478260869499</v>
      </c>
      <c r="E40">
        <v>23</v>
      </c>
      <c r="F40">
        <v>11</v>
      </c>
      <c r="G40">
        <v>5</v>
      </c>
      <c r="H40">
        <v>7</v>
      </c>
      <c r="I40">
        <v>1</v>
      </c>
      <c r="K40" t="s">
        <v>413</v>
      </c>
      <c r="L40" t="s">
        <v>941</v>
      </c>
      <c r="M40" t="s">
        <v>908</v>
      </c>
      <c r="N40">
        <v>3.2592592592592502</v>
      </c>
      <c r="O40">
        <v>27</v>
      </c>
      <c r="P40" t="s">
        <v>909</v>
      </c>
      <c r="Q40">
        <v>1</v>
      </c>
    </row>
    <row r="41" spans="1:17">
      <c r="A41" t="s">
        <v>725</v>
      </c>
      <c r="B41" t="s">
        <v>967</v>
      </c>
      <c r="C41" t="s">
        <v>908</v>
      </c>
      <c r="D41">
        <v>4.2371134020618504</v>
      </c>
      <c r="E41">
        <v>97</v>
      </c>
      <c r="F41">
        <v>81</v>
      </c>
      <c r="G41">
        <v>5</v>
      </c>
      <c r="H41">
        <v>11</v>
      </c>
      <c r="I41">
        <v>1</v>
      </c>
      <c r="K41" t="s">
        <v>289</v>
      </c>
      <c r="L41" t="s">
        <v>914</v>
      </c>
      <c r="M41" t="s">
        <v>908</v>
      </c>
      <c r="N41">
        <v>2.1</v>
      </c>
      <c r="O41">
        <v>20</v>
      </c>
      <c r="P41" t="s">
        <v>909</v>
      </c>
      <c r="Q41">
        <v>1</v>
      </c>
    </row>
    <row r="42" spans="1:17">
      <c r="A42" t="s">
        <v>837</v>
      </c>
      <c r="B42" t="s">
        <v>968</v>
      </c>
      <c r="C42" t="s">
        <v>908</v>
      </c>
      <c r="D42">
        <v>4.2</v>
      </c>
      <c r="E42">
        <v>30</v>
      </c>
      <c r="F42">
        <v>23</v>
      </c>
      <c r="G42">
        <v>4</v>
      </c>
      <c r="H42">
        <v>3</v>
      </c>
      <c r="I42">
        <v>1</v>
      </c>
    </row>
    <row r="43" spans="1:17">
      <c r="A43" t="s">
        <v>78</v>
      </c>
      <c r="B43" t="s">
        <v>969</v>
      </c>
      <c r="C43" t="s">
        <v>908</v>
      </c>
      <c r="D43">
        <v>4.4285714285714199</v>
      </c>
      <c r="E43">
        <v>21</v>
      </c>
      <c r="F43">
        <v>17</v>
      </c>
      <c r="G43">
        <v>4</v>
      </c>
      <c r="H43">
        <v>0</v>
      </c>
      <c r="I43">
        <v>1</v>
      </c>
    </row>
    <row r="44" spans="1:17">
      <c r="A44" t="s">
        <v>82</v>
      </c>
      <c r="B44" t="s">
        <v>937</v>
      </c>
      <c r="C44" t="s">
        <v>908</v>
      </c>
      <c r="D44">
        <v>3.81481481481481</v>
      </c>
      <c r="E44">
        <v>27</v>
      </c>
      <c r="F44">
        <v>18</v>
      </c>
      <c r="G44">
        <v>4</v>
      </c>
      <c r="H44">
        <v>5</v>
      </c>
      <c r="I44">
        <v>1</v>
      </c>
    </row>
    <row r="45" spans="1:17">
      <c r="A45" t="s">
        <v>841</v>
      </c>
      <c r="B45" t="s">
        <v>907</v>
      </c>
      <c r="C45" t="s">
        <v>908</v>
      </c>
      <c r="D45">
        <v>2.95</v>
      </c>
      <c r="E45">
        <v>20</v>
      </c>
      <c r="F45">
        <v>9</v>
      </c>
      <c r="G45">
        <v>1</v>
      </c>
      <c r="H45">
        <v>10</v>
      </c>
      <c r="I45">
        <v>1</v>
      </c>
    </row>
    <row r="46" spans="1:17">
      <c r="A46" t="s">
        <v>635</v>
      </c>
      <c r="B46" t="s">
        <v>970</v>
      </c>
      <c r="C46" t="s">
        <v>908</v>
      </c>
      <c r="D46">
        <v>3.875</v>
      </c>
      <c r="E46">
        <v>56</v>
      </c>
      <c r="F46">
        <v>38</v>
      </c>
      <c r="G46">
        <v>9</v>
      </c>
      <c r="H46">
        <v>9</v>
      </c>
      <c r="I46">
        <v>1</v>
      </c>
    </row>
    <row r="47" spans="1:17">
      <c r="A47" t="s">
        <v>28</v>
      </c>
      <c r="B47" t="s">
        <v>971</v>
      </c>
      <c r="C47" t="s">
        <v>908</v>
      </c>
      <c r="D47">
        <v>3.8873239436619702</v>
      </c>
      <c r="E47">
        <v>142</v>
      </c>
      <c r="F47">
        <v>95</v>
      </c>
      <c r="G47">
        <v>27</v>
      </c>
      <c r="H47">
        <v>20</v>
      </c>
      <c r="I47">
        <v>1</v>
      </c>
    </row>
    <row r="48" spans="1:17">
      <c r="A48" t="s">
        <v>459</v>
      </c>
      <c r="B48" t="s">
        <v>972</v>
      </c>
      <c r="C48" t="s">
        <v>913</v>
      </c>
      <c r="D48">
        <v>4.0416666666666599</v>
      </c>
      <c r="E48">
        <v>24</v>
      </c>
      <c r="F48">
        <v>19</v>
      </c>
      <c r="G48">
        <v>2</v>
      </c>
      <c r="H48">
        <v>3</v>
      </c>
      <c r="I48">
        <v>1</v>
      </c>
    </row>
    <row r="49" spans="1:9">
      <c r="A49" t="s">
        <v>758</v>
      </c>
      <c r="B49" t="s">
        <v>973</v>
      </c>
      <c r="C49" t="s">
        <v>920</v>
      </c>
      <c r="D49">
        <v>3.4935064935064899</v>
      </c>
      <c r="E49">
        <v>77</v>
      </c>
      <c r="F49">
        <v>40</v>
      </c>
      <c r="G49">
        <v>17</v>
      </c>
      <c r="H49">
        <v>20</v>
      </c>
      <c r="I49">
        <v>1</v>
      </c>
    </row>
    <row r="50" spans="1:9">
      <c r="A50" t="s">
        <v>239</v>
      </c>
      <c r="B50" t="s">
        <v>950</v>
      </c>
      <c r="C50" t="s">
        <v>920</v>
      </c>
      <c r="D50">
        <v>4</v>
      </c>
      <c r="E50">
        <v>215</v>
      </c>
      <c r="F50">
        <v>156</v>
      </c>
      <c r="G50">
        <v>21</v>
      </c>
      <c r="H50">
        <v>38</v>
      </c>
      <c r="I50">
        <v>1</v>
      </c>
    </row>
    <row r="51" spans="1:9">
      <c r="A51" t="s">
        <v>723</v>
      </c>
      <c r="B51" t="s">
        <v>974</v>
      </c>
      <c r="C51" t="s">
        <v>908</v>
      </c>
      <c r="D51">
        <v>4.2054794520547896</v>
      </c>
      <c r="E51">
        <v>146</v>
      </c>
      <c r="F51">
        <v>114</v>
      </c>
      <c r="G51">
        <v>20</v>
      </c>
      <c r="H51">
        <v>12</v>
      </c>
      <c r="I51">
        <v>1</v>
      </c>
    </row>
    <row r="52" spans="1:9">
      <c r="A52" t="s">
        <v>497</v>
      </c>
      <c r="B52" t="s">
        <v>975</v>
      </c>
      <c r="C52" t="s">
        <v>908</v>
      </c>
      <c r="D52">
        <v>4.5806451612903203</v>
      </c>
      <c r="E52">
        <v>31</v>
      </c>
      <c r="F52">
        <v>30</v>
      </c>
      <c r="G52">
        <v>1</v>
      </c>
      <c r="H52">
        <v>0</v>
      </c>
      <c r="I52">
        <v>1</v>
      </c>
    </row>
    <row r="53" spans="1:9">
      <c r="A53" t="s">
        <v>767</v>
      </c>
      <c r="B53" t="s">
        <v>907</v>
      </c>
      <c r="C53" t="s">
        <v>908</v>
      </c>
      <c r="D53">
        <v>3.8944444444444399</v>
      </c>
      <c r="E53">
        <v>180</v>
      </c>
      <c r="F53">
        <v>129</v>
      </c>
      <c r="G53">
        <v>15</v>
      </c>
      <c r="H53">
        <v>36</v>
      </c>
      <c r="I53">
        <v>1</v>
      </c>
    </row>
    <row r="54" spans="1:9">
      <c r="A54" t="s">
        <v>351</v>
      </c>
      <c r="B54" t="s">
        <v>907</v>
      </c>
      <c r="C54" t="s">
        <v>908</v>
      </c>
      <c r="D54">
        <v>3.71186440677966</v>
      </c>
      <c r="E54">
        <v>59</v>
      </c>
      <c r="F54">
        <v>38</v>
      </c>
      <c r="G54">
        <v>7</v>
      </c>
      <c r="H54">
        <v>14</v>
      </c>
      <c r="I54">
        <v>1</v>
      </c>
    </row>
    <row r="55" spans="1:9">
      <c r="A55" t="s">
        <v>712</v>
      </c>
      <c r="B55" t="s">
        <v>976</v>
      </c>
      <c r="C55" t="s">
        <v>908</v>
      </c>
      <c r="D55">
        <v>4.0405405405405403</v>
      </c>
      <c r="E55">
        <v>74</v>
      </c>
      <c r="F55">
        <v>58</v>
      </c>
      <c r="G55">
        <v>3</v>
      </c>
      <c r="H55">
        <v>13</v>
      </c>
      <c r="I55">
        <v>1</v>
      </c>
    </row>
    <row r="56" spans="1:9">
      <c r="A56" t="s">
        <v>197</v>
      </c>
      <c r="B56" t="s">
        <v>977</v>
      </c>
      <c r="C56" t="s">
        <v>913</v>
      </c>
      <c r="D56">
        <v>4.0409090909090901</v>
      </c>
      <c r="E56">
        <v>220</v>
      </c>
      <c r="F56">
        <v>163</v>
      </c>
      <c r="G56">
        <v>24</v>
      </c>
      <c r="H56">
        <v>33</v>
      </c>
      <c r="I56">
        <v>1</v>
      </c>
    </row>
    <row r="57" spans="1:9">
      <c r="A57" t="s">
        <v>770</v>
      </c>
      <c r="B57" t="s">
        <v>977</v>
      </c>
      <c r="C57" t="s">
        <v>913</v>
      </c>
      <c r="D57">
        <v>3.85365853658536</v>
      </c>
      <c r="E57">
        <v>41</v>
      </c>
      <c r="F57">
        <v>26</v>
      </c>
      <c r="G57">
        <v>8</v>
      </c>
      <c r="H57">
        <v>7</v>
      </c>
      <c r="I57">
        <v>1</v>
      </c>
    </row>
    <row r="58" spans="1:9">
      <c r="A58" t="s">
        <v>629</v>
      </c>
      <c r="B58" t="s">
        <v>907</v>
      </c>
      <c r="C58" t="s">
        <v>908</v>
      </c>
      <c r="D58">
        <v>4.5199999999999996</v>
      </c>
      <c r="E58">
        <v>25</v>
      </c>
      <c r="F58">
        <v>22</v>
      </c>
      <c r="G58">
        <v>1</v>
      </c>
      <c r="H58">
        <v>2</v>
      </c>
      <c r="I58">
        <v>1</v>
      </c>
    </row>
    <row r="59" spans="1:9">
      <c r="A59" t="s">
        <v>417</v>
      </c>
      <c r="B59" t="s">
        <v>972</v>
      </c>
      <c r="C59" t="s">
        <v>913</v>
      </c>
      <c r="D59">
        <v>4.2115384615384599</v>
      </c>
      <c r="E59">
        <v>52</v>
      </c>
      <c r="F59">
        <v>44</v>
      </c>
      <c r="G59">
        <v>2</v>
      </c>
      <c r="H59">
        <v>6</v>
      </c>
      <c r="I59">
        <v>1</v>
      </c>
    </row>
    <row r="60" spans="1:9">
      <c r="A60" t="s">
        <v>578</v>
      </c>
      <c r="B60" t="s">
        <v>978</v>
      </c>
      <c r="C60" t="s">
        <v>908</v>
      </c>
      <c r="D60">
        <v>4.2132352941176396</v>
      </c>
      <c r="E60">
        <v>136</v>
      </c>
      <c r="F60">
        <v>110</v>
      </c>
      <c r="G60">
        <v>9</v>
      </c>
      <c r="H60">
        <v>17</v>
      </c>
      <c r="I60">
        <v>1</v>
      </c>
    </row>
    <row r="61" spans="1:9">
      <c r="A61" t="s">
        <v>342</v>
      </c>
      <c r="B61" t="s">
        <v>938</v>
      </c>
      <c r="C61" t="s">
        <v>908</v>
      </c>
      <c r="D61">
        <v>3.953125</v>
      </c>
      <c r="E61">
        <v>192</v>
      </c>
      <c r="F61">
        <v>143</v>
      </c>
      <c r="G61">
        <v>20</v>
      </c>
      <c r="H61">
        <v>29</v>
      </c>
      <c r="I61">
        <v>1</v>
      </c>
    </row>
    <row r="62" spans="1:9">
      <c r="A62" t="s">
        <v>202</v>
      </c>
      <c r="B62" t="s">
        <v>979</v>
      </c>
      <c r="C62" t="s">
        <v>913</v>
      </c>
      <c r="D62">
        <v>4.30337078651685</v>
      </c>
      <c r="E62">
        <v>89</v>
      </c>
      <c r="F62">
        <v>79</v>
      </c>
      <c r="G62">
        <v>0</v>
      </c>
      <c r="H62">
        <v>10</v>
      </c>
      <c r="I62">
        <v>1</v>
      </c>
    </row>
    <row r="63" spans="1:9">
      <c r="A63" t="s">
        <v>810</v>
      </c>
      <c r="B63" t="s">
        <v>980</v>
      </c>
      <c r="C63" t="s">
        <v>913</v>
      </c>
      <c r="D63">
        <v>4.3333333333333304</v>
      </c>
      <c r="E63">
        <v>273</v>
      </c>
      <c r="F63">
        <v>225</v>
      </c>
      <c r="G63">
        <v>26</v>
      </c>
      <c r="H63">
        <v>22</v>
      </c>
      <c r="I63">
        <v>1</v>
      </c>
    </row>
    <row r="64" spans="1:9">
      <c r="A64" t="s">
        <v>804</v>
      </c>
      <c r="B64" t="s">
        <v>981</v>
      </c>
      <c r="C64" t="s">
        <v>913</v>
      </c>
      <c r="D64">
        <v>4.5</v>
      </c>
      <c r="E64">
        <v>32</v>
      </c>
      <c r="F64">
        <v>29</v>
      </c>
      <c r="G64">
        <v>1</v>
      </c>
      <c r="H64">
        <v>2</v>
      </c>
      <c r="I64">
        <v>1</v>
      </c>
    </row>
    <row r="65" spans="1:9">
      <c r="A65" t="s">
        <v>553</v>
      </c>
      <c r="B65" t="s">
        <v>982</v>
      </c>
      <c r="C65" t="s">
        <v>908</v>
      </c>
      <c r="D65">
        <v>4.4047619047618998</v>
      </c>
      <c r="E65">
        <v>42</v>
      </c>
      <c r="F65">
        <v>35</v>
      </c>
      <c r="G65">
        <v>5</v>
      </c>
      <c r="H65">
        <v>2</v>
      </c>
      <c r="I65">
        <v>1</v>
      </c>
    </row>
    <row r="66" spans="1:9">
      <c r="A66" t="s">
        <v>77</v>
      </c>
      <c r="B66" t="s">
        <v>919</v>
      </c>
      <c r="C66" t="s">
        <v>920</v>
      </c>
      <c r="D66">
        <v>4.2545454545454504</v>
      </c>
      <c r="E66">
        <v>55</v>
      </c>
      <c r="F66">
        <v>45</v>
      </c>
      <c r="G66">
        <v>1</v>
      </c>
      <c r="H66">
        <v>9</v>
      </c>
      <c r="I66">
        <v>1</v>
      </c>
    </row>
    <row r="67" spans="1:9">
      <c r="A67" t="s">
        <v>470</v>
      </c>
      <c r="B67" t="s">
        <v>983</v>
      </c>
      <c r="C67" t="s">
        <v>908</v>
      </c>
      <c r="D67">
        <v>4.4000000000000004</v>
      </c>
      <c r="E67">
        <v>35</v>
      </c>
      <c r="F67">
        <v>29</v>
      </c>
      <c r="G67">
        <v>2</v>
      </c>
      <c r="H67">
        <v>4</v>
      </c>
      <c r="I67">
        <v>1</v>
      </c>
    </row>
    <row r="68" spans="1:9">
      <c r="A68" s="2" t="s">
        <v>648</v>
      </c>
      <c r="B68" t="s">
        <v>984</v>
      </c>
      <c r="C68" t="s">
        <v>908</v>
      </c>
      <c r="D68">
        <v>4.6153846153846096</v>
      </c>
      <c r="E68">
        <v>26</v>
      </c>
      <c r="F68">
        <v>24</v>
      </c>
      <c r="G68">
        <v>1</v>
      </c>
      <c r="H68">
        <v>1</v>
      </c>
      <c r="I68">
        <v>1</v>
      </c>
    </row>
    <row r="69" spans="1:9">
      <c r="A69" t="s">
        <v>250</v>
      </c>
      <c r="B69" t="s">
        <v>907</v>
      </c>
      <c r="C69" t="s">
        <v>908</v>
      </c>
      <c r="D69">
        <v>3.8497554157931502</v>
      </c>
      <c r="E69">
        <v>1431</v>
      </c>
      <c r="F69">
        <v>1016</v>
      </c>
      <c r="G69">
        <v>121</v>
      </c>
      <c r="H69">
        <v>294</v>
      </c>
      <c r="I69">
        <v>1</v>
      </c>
    </row>
    <row r="70" spans="1:9">
      <c r="A70" t="s">
        <v>900</v>
      </c>
      <c r="B70" t="s">
        <v>914</v>
      </c>
      <c r="C70" t="s">
        <v>908</v>
      </c>
      <c r="D70">
        <v>4.0977443609022499</v>
      </c>
      <c r="E70">
        <v>133</v>
      </c>
      <c r="F70">
        <v>103</v>
      </c>
      <c r="G70">
        <v>6</v>
      </c>
      <c r="H70">
        <v>24</v>
      </c>
      <c r="I70">
        <v>1</v>
      </c>
    </row>
    <row r="71" spans="1:9">
      <c r="A71" t="s">
        <v>524</v>
      </c>
      <c r="B71" t="s">
        <v>985</v>
      </c>
      <c r="C71" t="s">
        <v>913</v>
      </c>
      <c r="D71">
        <v>4.3499999999999996</v>
      </c>
      <c r="E71">
        <v>40</v>
      </c>
      <c r="F71">
        <v>34</v>
      </c>
      <c r="G71">
        <v>3</v>
      </c>
      <c r="H71">
        <v>3</v>
      </c>
      <c r="I71">
        <v>1</v>
      </c>
    </row>
    <row r="72" spans="1:9">
      <c r="A72" t="s">
        <v>307</v>
      </c>
      <c r="B72" t="s">
        <v>986</v>
      </c>
      <c r="C72" t="s">
        <v>908</v>
      </c>
      <c r="D72">
        <v>4.4042553191489304</v>
      </c>
      <c r="E72">
        <v>47</v>
      </c>
      <c r="F72">
        <v>40</v>
      </c>
      <c r="G72">
        <v>5</v>
      </c>
      <c r="H72">
        <v>2</v>
      </c>
      <c r="I72">
        <v>1</v>
      </c>
    </row>
    <row r="73" spans="1:9">
      <c r="A73" t="s">
        <v>541</v>
      </c>
      <c r="B73" t="s">
        <v>970</v>
      </c>
      <c r="C73" t="s">
        <v>908</v>
      </c>
      <c r="D73">
        <v>4.6027397260273899</v>
      </c>
      <c r="E73">
        <v>73</v>
      </c>
      <c r="F73">
        <v>65</v>
      </c>
      <c r="G73">
        <v>5</v>
      </c>
      <c r="H73">
        <v>3</v>
      </c>
      <c r="I73">
        <v>1</v>
      </c>
    </row>
    <row r="74" spans="1:9">
      <c r="A74" t="s">
        <v>896</v>
      </c>
      <c r="B74" t="s">
        <v>941</v>
      </c>
      <c r="C74" t="s">
        <v>908</v>
      </c>
      <c r="D74">
        <v>3.7766990291262101</v>
      </c>
      <c r="E74">
        <v>103</v>
      </c>
      <c r="F74">
        <v>72</v>
      </c>
      <c r="G74">
        <v>3</v>
      </c>
      <c r="H74">
        <v>28</v>
      </c>
      <c r="I74">
        <v>1</v>
      </c>
    </row>
    <row r="75" spans="1:9">
      <c r="A75" t="s">
        <v>704</v>
      </c>
      <c r="B75" t="s">
        <v>950</v>
      </c>
      <c r="C75" t="s">
        <v>920</v>
      </c>
      <c r="D75">
        <v>4.1768953068592003</v>
      </c>
      <c r="E75">
        <v>554</v>
      </c>
      <c r="F75">
        <v>442</v>
      </c>
      <c r="G75">
        <v>48</v>
      </c>
      <c r="H75">
        <v>64</v>
      </c>
      <c r="I75">
        <v>1</v>
      </c>
    </row>
    <row r="76" spans="1:9">
      <c r="A76" t="s">
        <v>266</v>
      </c>
      <c r="B76" t="s">
        <v>987</v>
      </c>
      <c r="C76" t="s">
        <v>925</v>
      </c>
      <c r="D76">
        <v>4.5111111111111102</v>
      </c>
      <c r="E76">
        <v>135</v>
      </c>
      <c r="F76">
        <v>121</v>
      </c>
      <c r="G76">
        <v>7</v>
      </c>
      <c r="H76">
        <v>7</v>
      </c>
      <c r="I76">
        <v>1</v>
      </c>
    </row>
    <row r="77" spans="1:9">
      <c r="A77" t="s">
        <v>195</v>
      </c>
      <c r="B77" t="s">
        <v>988</v>
      </c>
      <c r="C77" t="s">
        <v>908</v>
      </c>
      <c r="D77">
        <v>3.9411764705882302</v>
      </c>
      <c r="E77">
        <v>85</v>
      </c>
      <c r="F77">
        <v>61</v>
      </c>
      <c r="G77">
        <v>10</v>
      </c>
      <c r="H77">
        <v>14</v>
      </c>
      <c r="I77">
        <v>1</v>
      </c>
    </row>
    <row r="78" spans="1:9">
      <c r="A78" t="s">
        <v>799</v>
      </c>
      <c r="B78" t="s">
        <v>907</v>
      </c>
      <c r="C78" t="s">
        <v>908</v>
      </c>
      <c r="D78">
        <v>3.71428571428571</v>
      </c>
      <c r="E78">
        <v>21</v>
      </c>
      <c r="F78">
        <v>13</v>
      </c>
      <c r="G78">
        <v>3</v>
      </c>
      <c r="H78">
        <v>5</v>
      </c>
      <c r="I78">
        <v>1</v>
      </c>
    </row>
    <row r="79" spans="1:9">
      <c r="A79" t="s">
        <v>575</v>
      </c>
      <c r="B79" t="s">
        <v>907</v>
      </c>
      <c r="C79" t="s">
        <v>908</v>
      </c>
      <c r="D79">
        <v>3.9827586206896499</v>
      </c>
      <c r="E79">
        <v>58</v>
      </c>
      <c r="F79">
        <v>40</v>
      </c>
      <c r="G79">
        <v>8</v>
      </c>
      <c r="H79">
        <v>10</v>
      </c>
      <c r="I79">
        <v>1</v>
      </c>
    </row>
    <row r="80" spans="1:9">
      <c r="A80" t="s">
        <v>835</v>
      </c>
      <c r="B80" t="s">
        <v>937</v>
      </c>
      <c r="C80" t="s">
        <v>908</v>
      </c>
      <c r="D80">
        <v>4.2173913043478199</v>
      </c>
      <c r="E80">
        <v>23</v>
      </c>
      <c r="F80">
        <v>19</v>
      </c>
      <c r="G80">
        <v>1</v>
      </c>
      <c r="H80">
        <v>3</v>
      </c>
      <c r="I80">
        <v>1</v>
      </c>
    </row>
    <row r="81" spans="1:9">
      <c r="A81" t="s">
        <v>414</v>
      </c>
      <c r="B81" t="s">
        <v>907</v>
      </c>
      <c r="C81" t="s">
        <v>908</v>
      </c>
      <c r="D81">
        <v>3.9565217391304301</v>
      </c>
      <c r="E81">
        <v>23</v>
      </c>
      <c r="F81">
        <v>14</v>
      </c>
      <c r="G81">
        <v>6</v>
      </c>
      <c r="H81">
        <v>3</v>
      </c>
      <c r="I81">
        <v>1</v>
      </c>
    </row>
    <row r="82" spans="1:9">
      <c r="A82" t="s">
        <v>550</v>
      </c>
      <c r="B82" t="s">
        <v>989</v>
      </c>
      <c r="C82" t="s">
        <v>959</v>
      </c>
      <c r="D82">
        <v>4.1666666666666599</v>
      </c>
      <c r="E82">
        <v>30</v>
      </c>
      <c r="F82">
        <v>23</v>
      </c>
      <c r="G82">
        <v>3</v>
      </c>
      <c r="H82">
        <v>4</v>
      </c>
      <c r="I82">
        <v>1</v>
      </c>
    </row>
    <row r="83" spans="1:9">
      <c r="A83" t="s">
        <v>891</v>
      </c>
      <c r="B83" t="s">
        <v>907</v>
      </c>
      <c r="C83" t="s">
        <v>908</v>
      </c>
      <c r="D83">
        <v>3.8157894736842102</v>
      </c>
      <c r="E83">
        <v>38</v>
      </c>
      <c r="F83">
        <v>28</v>
      </c>
      <c r="G83">
        <v>2</v>
      </c>
      <c r="H83">
        <v>8</v>
      </c>
      <c r="I83">
        <v>1</v>
      </c>
    </row>
    <row r="84" spans="1:9">
      <c r="A84" t="s">
        <v>645</v>
      </c>
      <c r="B84" t="s">
        <v>916</v>
      </c>
      <c r="C84" t="s">
        <v>908</v>
      </c>
      <c r="D84">
        <v>4.3421052631578902</v>
      </c>
      <c r="E84">
        <v>38</v>
      </c>
      <c r="F84">
        <v>31</v>
      </c>
      <c r="G84">
        <v>4</v>
      </c>
      <c r="H84">
        <v>3</v>
      </c>
      <c r="I84">
        <v>1</v>
      </c>
    </row>
    <row r="85" spans="1:9">
      <c r="A85" t="s">
        <v>285</v>
      </c>
      <c r="B85" t="s">
        <v>990</v>
      </c>
      <c r="C85" t="s">
        <v>913</v>
      </c>
      <c r="D85">
        <v>4.2481481481481396</v>
      </c>
      <c r="E85">
        <v>270</v>
      </c>
      <c r="F85">
        <v>224</v>
      </c>
      <c r="G85">
        <v>13</v>
      </c>
      <c r="H85">
        <v>33</v>
      </c>
      <c r="I85">
        <v>1</v>
      </c>
    </row>
    <row r="86" spans="1:9">
      <c r="A86" t="s">
        <v>346</v>
      </c>
      <c r="B86" t="s">
        <v>907</v>
      </c>
      <c r="C86" t="s">
        <v>908</v>
      </c>
      <c r="D86">
        <v>3.9677419354838701</v>
      </c>
      <c r="E86">
        <v>31</v>
      </c>
      <c r="F86">
        <v>21</v>
      </c>
      <c r="G86">
        <v>5</v>
      </c>
      <c r="H86">
        <v>5</v>
      </c>
      <c r="I86">
        <v>1</v>
      </c>
    </row>
    <row r="87" spans="1:9">
      <c r="A87" t="s">
        <v>743</v>
      </c>
      <c r="B87" t="s">
        <v>991</v>
      </c>
      <c r="C87" t="s">
        <v>948</v>
      </c>
      <c r="D87">
        <v>4.1153846153846096</v>
      </c>
      <c r="E87">
        <v>26</v>
      </c>
      <c r="F87">
        <v>21</v>
      </c>
      <c r="G87">
        <v>2</v>
      </c>
      <c r="H87">
        <v>3</v>
      </c>
      <c r="I87">
        <v>1</v>
      </c>
    </row>
    <row r="88" spans="1:9">
      <c r="A88" t="s">
        <v>573</v>
      </c>
      <c r="B88" t="s">
        <v>992</v>
      </c>
      <c r="C88" t="s">
        <v>908</v>
      </c>
      <c r="D88">
        <v>4.0442260442260398</v>
      </c>
      <c r="E88">
        <v>407</v>
      </c>
      <c r="F88">
        <v>311</v>
      </c>
      <c r="G88">
        <v>37</v>
      </c>
      <c r="H88">
        <v>59</v>
      </c>
      <c r="I88">
        <v>1</v>
      </c>
    </row>
    <row r="89" spans="1:9">
      <c r="A89" t="s">
        <v>561</v>
      </c>
      <c r="B89" t="s">
        <v>950</v>
      </c>
      <c r="C89" t="s">
        <v>920</v>
      </c>
      <c r="D89">
        <v>3.6875</v>
      </c>
      <c r="E89">
        <v>64</v>
      </c>
      <c r="F89">
        <v>45</v>
      </c>
      <c r="G89">
        <v>2</v>
      </c>
      <c r="H89">
        <v>17</v>
      </c>
      <c r="I89">
        <v>1</v>
      </c>
    </row>
    <row r="90" spans="1:9">
      <c r="A90" s="2" t="s">
        <v>302</v>
      </c>
      <c r="B90" t="s">
        <v>993</v>
      </c>
      <c r="C90" t="s">
        <v>908</v>
      </c>
      <c r="D90">
        <v>3.625</v>
      </c>
      <c r="E90">
        <v>32</v>
      </c>
      <c r="F90">
        <v>19</v>
      </c>
      <c r="G90">
        <v>6</v>
      </c>
      <c r="H90">
        <v>7</v>
      </c>
      <c r="I90">
        <v>1</v>
      </c>
    </row>
    <row r="91" spans="1:9">
      <c r="A91" t="s">
        <v>403</v>
      </c>
      <c r="B91" t="s">
        <v>938</v>
      </c>
      <c r="C91" t="s">
        <v>908</v>
      </c>
      <c r="D91">
        <v>4.6285714285714201</v>
      </c>
      <c r="E91">
        <v>35</v>
      </c>
      <c r="F91">
        <v>32</v>
      </c>
      <c r="G91">
        <v>3</v>
      </c>
      <c r="H91">
        <v>0</v>
      </c>
      <c r="I91">
        <v>1</v>
      </c>
    </row>
    <row r="92" spans="1:9">
      <c r="A92" t="s">
        <v>639</v>
      </c>
      <c r="B92" t="s">
        <v>994</v>
      </c>
      <c r="C92" t="s">
        <v>908</v>
      </c>
      <c r="D92">
        <v>4.2094594594594499</v>
      </c>
      <c r="E92">
        <v>148</v>
      </c>
      <c r="F92">
        <v>120</v>
      </c>
      <c r="G92">
        <v>11</v>
      </c>
      <c r="H92">
        <v>17</v>
      </c>
      <c r="I92">
        <v>1</v>
      </c>
    </row>
    <row r="93" spans="1:9">
      <c r="A93" t="s">
        <v>107</v>
      </c>
      <c r="B93" t="s">
        <v>979</v>
      </c>
      <c r="C93" t="s">
        <v>913</v>
      </c>
      <c r="D93">
        <v>4.01538461538461</v>
      </c>
      <c r="E93">
        <v>130</v>
      </c>
      <c r="F93">
        <v>94</v>
      </c>
      <c r="G93">
        <v>16</v>
      </c>
      <c r="H93">
        <v>20</v>
      </c>
      <c r="I93">
        <v>1</v>
      </c>
    </row>
    <row r="94" spans="1:9">
      <c r="A94" t="s">
        <v>165</v>
      </c>
      <c r="B94" t="s">
        <v>995</v>
      </c>
      <c r="C94" t="s">
        <v>908</v>
      </c>
      <c r="D94">
        <v>4.1390977443608996</v>
      </c>
      <c r="E94">
        <v>266</v>
      </c>
      <c r="F94">
        <v>214</v>
      </c>
      <c r="G94">
        <v>15</v>
      </c>
      <c r="H94">
        <v>37</v>
      </c>
      <c r="I94">
        <v>1</v>
      </c>
    </row>
    <row r="95" spans="1:9">
      <c r="A95" t="s">
        <v>382</v>
      </c>
      <c r="B95" t="s">
        <v>907</v>
      </c>
      <c r="C95" t="s">
        <v>908</v>
      </c>
      <c r="D95">
        <v>4.3442622950819603</v>
      </c>
      <c r="E95">
        <v>61</v>
      </c>
      <c r="F95">
        <v>50</v>
      </c>
      <c r="G95">
        <v>6</v>
      </c>
      <c r="H95">
        <v>5</v>
      </c>
      <c r="I95">
        <v>1</v>
      </c>
    </row>
    <row r="96" spans="1:9">
      <c r="A96" t="s">
        <v>517</v>
      </c>
      <c r="B96" t="s">
        <v>911</v>
      </c>
      <c r="C96" t="s">
        <v>908</v>
      </c>
      <c r="D96">
        <v>3.5938628158844699</v>
      </c>
      <c r="E96">
        <v>554</v>
      </c>
      <c r="F96">
        <v>348</v>
      </c>
      <c r="G96">
        <v>63</v>
      </c>
      <c r="H96">
        <v>143</v>
      </c>
      <c r="I96">
        <v>1</v>
      </c>
    </row>
    <row r="97" spans="1:9">
      <c r="A97" t="s">
        <v>651</v>
      </c>
      <c r="B97" t="s">
        <v>912</v>
      </c>
      <c r="C97" t="s">
        <v>913</v>
      </c>
      <c r="D97">
        <v>4.23880597014925</v>
      </c>
      <c r="E97">
        <v>67</v>
      </c>
      <c r="F97">
        <v>54</v>
      </c>
      <c r="G97">
        <v>3</v>
      </c>
      <c r="H97">
        <v>10</v>
      </c>
      <c r="I97">
        <v>1</v>
      </c>
    </row>
    <row r="98" spans="1:9">
      <c r="A98" t="s">
        <v>733</v>
      </c>
      <c r="B98" t="s">
        <v>907</v>
      </c>
      <c r="C98" t="s">
        <v>908</v>
      </c>
      <c r="D98">
        <v>3.3945578231292499</v>
      </c>
      <c r="E98">
        <v>147</v>
      </c>
      <c r="F98">
        <v>87</v>
      </c>
      <c r="G98">
        <v>11</v>
      </c>
      <c r="H98">
        <v>49</v>
      </c>
      <c r="I98">
        <v>1</v>
      </c>
    </row>
    <row r="99" spans="1:9">
      <c r="A99" s="2" t="s">
        <v>429</v>
      </c>
      <c r="B99" t="s">
        <v>996</v>
      </c>
      <c r="C99" t="s">
        <v>908</v>
      </c>
      <c r="D99">
        <v>4.6764705882352899</v>
      </c>
      <c r="E99">
        <v>34</v>
      </c>
      <c r="F99">
        <v>33</v>
      </c>
      <c r="G99">
        <v>1</v>
      </c>
      <c r="H99">
        <v>0</v>
      </c>
      <c r="I99">
        <v>1</v>
      </c>
    </row>
    <row r="100" spans="1:9">
      <c r="A100" s="2" t="s">
        <v>478</v>
      </c>
      <c r="B100" t="s">
        <v>911</v>
      </c>
      <c r="C100" t="s">
        <v>908</v>
      </c>
      <c r="D100">
        <v>3.8549618320610599</v>
      </c>
      <c r="E100">
        <v>524</v>
      </c>
      <c r="F100">
        <v>360</v>
      </c>
      <c r="G100">
        <v>61</v>
      </c>
      <c r="H100">
        <v>103</v>
      </c>
      <c r="I100">
        <v>1</v>
      </c>
    </row>
    <row r="101" spans="1:9">
      <c r="A101" t="s">
        <v>897</v>
      </c>
      <c r="B101" t="s">
        <v>997</v>
      </c>
      <c r="C101" t="s">
        <v>913</v>
      </c>
      <c r="D101">
        <v>3.88</v>
      </c>
      <c r="E101">
        <v>25</v>
      </c>
      <c r="F101">
        <v>18</v>
      </c>
      <c r="G101">
        <v>1</v>
      </c>
      <c r="H101">
        <v>6</v>
      </c>
      <c r="I101">
        <v>1</v>
      </c>
    </row>
    <row r="102" spans="1:9">
      <c r="A102" t="s">
        <v>516</v>
      </c>
      <c r="B102" t="s">
        <v>998</v>
      </c>
      <c r="C102" t="s">
        <v>930</v>
      </c>
      <c r="D102">
        <v>4.1611111111111097</v>
      </c>
      <c r="E102">
        <v>180</v>
      </c>
      <c r="F102">
        <v>139</v>
      </c>
      <c r="G102">
        <v>21</v>
      </c>
      <c r="H102">
        <v>20</v>
      </c>
      <c r="I102">
        <v>1</v>
      </c>
    </row>
    <row r="103" spans="1:9">
      <c r="A103" s="2" t="s">
        <v>750</v>
      </c>
      <c r="B103" t="s">
        <v>907</v>
      </c>
      <c r="C103" t="s">
        <v>908</v>
      </c>
      <c r="D103">
        <v>3.5666666666666602</v>
      </c>
      <c r="E103">
        <v>30</v>
      </c>
      <c r="F103">
        <v>19</v>
      </c>
      <c r="G103">
        <v>1</v>
      </c>
      <c r="H103">
        <v>10</v>
      </c>
      <c r="I103">
        <v>1</v>
      </c>
    </row>
    <row r="104" spans="1:9">
      <c r="A104" t="s">
        <v>529</v>
      </c>
      <c r="B104" t="s">
        <v>999</v>
      </c>
      <c r="C104" t="s">
        <v>930</v>
      </c>
      <c r="D104">
        <v>4.1111111111111098</v>
      </c>
      <c r="E104">
        <v>117</v>
      </c>
      <c r="F104">
        <v>90</v>
      </c>
      <c r="G104">
        <v>11</v>
      </c>
      <c r="H104">
        <v>16</v>
      </c>
      <c r="I104">
        <v>1</v>
      </c>
    </row>
    <row r="105" spans="1:9">
      <c r="A105" t="s">
        <v>583</v>
      </c>
      <c r="B105" t="s">
        <v>907</v>
      </c>
      <c r="C105" t="s">
        <v>908</v>
      </c>
      <c r="D105">
        <v>4.0819672131147504</v>
      </c>
      <c r="E105">
        <v>61</v>
      </c>
      <c r="F105">
        <v>45</v>
      </c>
      <c r="G105">
        <v>9</v>
      </c>
      <c r="H105">
        <v>7</v>
      </c>
      <c r="I105">
        <v>1</v>
      </c>
    </row>
    <row r="106" spans="1:9">
      <c r="A106" t="s">
        <v>601</v>
      </c>
      <c r="B106" t="s">
        <v>1000</v>
      </c>
      <c r="C106" t="s">
        <v>908</v>
      </c>
      <c r="D106">
        <v>4.2424242424242404</v>
      </c>
      <c r="E106">
        <v>33</v>
      </c>
      <c r="F106">
        <v>29</v>
      </c>
      <c r="G106">
        <v>0</v>
      </c>
      <c r="H106">
        <v>4</v>
      </c>
      <c r="I106">
        <v>1</v>
      </c>
    </row>
    <row r="107" spans="1:9">
      <c r="A107" t="s">
        <v>442</v>
      </c>
      <c r="B107" t="s">
        <v>907</v>
      </c>
      <c r="C107" t="s">
        <v>908</v>
      </c>
      <c r="D107">
        <v>4.5882352941176396</v>
      </c>
      <c r="E107">
        <v>85</v>
      </c>
      <c r="F107">
        <v>78</v>
      </c>
      <c r="G107">
        <v>3</v>
      </c>
      <c r="H107">
        <v>4</v>
      </c>
      <c r="I107">
        <v>1</v>
      </c>
    </row>
    <row r="108" spans="1:9">
      <c r="A108" t="s">
        <v>749</v>
      </c>
      <c r="B108" t="s">
        <v>907</v>
      </c>
      <c r="C108" t="s">
        <v>908</v>
      </c>
      <c r="D108">
        <v>4.1689497716894897</v>
      </c>
      <c r="E108">
        <v>219</v>
      </c>
      <c r="F108">
        <v>169</v>
      </c>
      <c r="G108">
        <v>22</v>
      </c>
      <c r="H108">
        <v>28</v>
      </c>
      <c r="I108">
        <v>1</v>
      </c>
    </row>
    <row r="109" spans="1:9">
      <c r="A109" t="s">
        <v>99</v>
      </c>
      <c r="B109" t="s">
        <v>1001</v>
      </c>
      <c r="C109" t="s">
        <v>908</v>
      </c>
      <c r="D109">
        <v>4.5454545454545396</v>
      </c>
      <c r="E109">
        <v>22</v>
      </c>
      <c r="F109">
        <v>18</v>
      </c>
      <c r="G109">
        <v>4</v>
      </c>
      <c r="H109">
        <v>0</v>
      </c>
      <c r="I109">
        <v>1</v>
      </c>
    </row>
    <row r="110" spans="1:9">
      <c r="A110" t="s">
        <v>753</v>
      </c>
      <c r="B110" t="s">
        <v>1002</v>
      </c>
      <c r="C110" t="s">
        <v>920</v>
      </c>
      <c r="D110">
        <v>3.9438202247190999</v>
      </c>
      <c r="E110">
        <v>178</v>
      </c>
      <c r="F110">
        <v>135</v>
      </c>
      <c r="G110">
        <v>16</v>
      </c>
      <c r="H110">
        <v>27</v>
      </c>
      <c r="I110">
        <v>1</v>
      </c>
    </row>
    <row r="111" spans="1:9">
      <c r="A111" t="s">
        <v>370</v>
      </c>
      <c r="B111" t="s">
        <v>910</v>
      </c>
      <c r="C111" t="s">
        <v>908</v>
      </c>
      <c r="D111">
        <v>2.1985294117646998</v>
      </c>
      <c r="E111">
        <v>136</v>
      </c>
      <c r="F111">
        <v>35</v>
      </c>
      <c r="G111">
        <v>12</v>
      </c>
      <c r="H111">
        <v>89</v>
      </c>
      <c r="I111">
        <v>1</v>
      </c>
    </row>
    <row r="112" spans="1:9">
      <c r="A112" t="s">
        <v>318</v>
      </c>
      <c r="B112" t="s">
        <v>1003</v>
      </c>
      <c r="C112" t="s">
        <v>959</v>
      </c>
      <c r="D112">
        <v>4.5405405405405403</v>
      </c>
      <c r="E112">
        <v>37</v>
      </c>
      <c r="F112">
        <v>34</v>
      </c>
      <c r="G112">
        <v>0</v>
      </c>
      <c r="H112">
        <v>3</v>
      </c>
      <c r="I112">
        <v>1</v>
      </c>
    </row>
    <row r="113" spans="1:9">
      <c r="A113" t="s">
        <v>322</v>
      </c>
      <c r="B113" t="s">
        <v>1004</v>
      </c>
      <c r="C113" t="s">
        <v>930</v>
      </c>
      <c r="D113">
        <v>3.72727272727272</v>
      </c>
      <c r="E113">
        <v>44</v>
      </c>
      <c r="F113">
        <v>27</v>
      </c>
      <c r="G113">
        <v>7</v>
      </c>
      <c r="H113">
        <v>10</v>
      </c>
      <c r="I113">
        <v>1</v>
      </c>
    </row>
    <row r="114" spans="1:9">
      <c r="A114" t="s">
        <v>466</v>
      </c>
      <c r="B114" t="s">
        <v>907</v>
      </c>
      <c r="C114" t="s">
        <v>908</v>
      </c>
      <c r="D114">
        <v>4.3023255813953396</v>
      </c>
      <c r="E114">
        <v>43</v>
      </c>
      <c r="F114">
        <v>37</v>
      </c>
      <c r="G114">
        <v>2</v>
      </c>
      <c r="H114">
        <v>4</v>
      </c>
      <c r="I114">
        <v>1</v>
      </c>
    </row>
    <row r="115" spans="1:9">
      <c r="A115" t="s">
        <v>389</v>
      </c>
      <c r="B115" t="s">
        <v>1005</v>
      </c>
      <c r="C115" t="s">
        <v>920</v>
      </c>
      <c r="D115">
        <v>3.8958333333333299</v>
      </c>
      <c r="E115">
        <v>96</v>
      </c>
      <c r="F115">
        <v>65</v>
      </c>
      <c r="G115">
        <v>13</v>
      </c>
      <c r="H115">
        <v>18</v>
      </c>
      <c r="I115">
        <v>1</v>
      </c>
    </row>
    <row r="116" spans="1:9">
      <c r="A116" t="s">
        <v>186</v>
      </c>
      <c r="B116" t="s">
        <v>985</v>
      </c>
      <c r="C116" t="s">
        <v>913</v>
      </c>
      <c r="D116">
        <v>3.9375</v>
      </c>
      <c r="E116">
        <v>48</v>
      </c>
      <c r="F116">
        <v>36</v>
      </c>
      <c r="G116">
        <v>3</v>
      </c>
      <c r="H116">
        <v>9</v>
      </c>
      <c r="I116">
        <v>1</v>
      </c>
    </row>
    <row r="117" spans="1:9">
      <c r="A117" t="s">
        <v>410</v>
      </c>
      <c r="B117" t="s">
        <v>907</v>
      </c>
      <c r="C117" t="s">
        <v>908</v>
      </c>
      <c r="D117">
        <v>4.07317073170731</v>
      </c>
      <c r="E117">
        <v>328</v>
      </c>
      <c r="F117">
        <v>252</v>
      </c>
      <c r="G117">
        <v>24</v>
      </c>
      <c r="H117">
        <v>52</v>
      </c>
      <c r="I117">
        <v>1</v>
      </c>
    </row>
    <row r="118" spans="1:9">
      <c r="A118" t="s">
        <v>290</v>
      </c>
      <c r="B118" t="s">
        <v>911</v>
      </c>
      <c r="C118" t="s">
        <v>908</v>
      </c>
      <c r="D118">
        <v>4.5185185185185102</v>
      </c>
      <c r="E118">
        <v>27</v>
      </c>
      <c r="F118">
        <v>24</v>
      </c>
      <c r="G118">
        <v>2</v>
      </c>
      <c r="H118">
        <v>1</v>
      </c>
      <c r="I118">
        <v>1</v>
      </c>
    </row>
    <row r="119" spans="1:9">
      <c r="A119" t="s">
        <v>223</v>
      </c>
      <c r="B119" t="s">
        <v>911</v>
      </c>
      <c r="C119" t="s">
        <v>908</v>
      </c>
      <c r="D119">
        <v>3.1923076923076898</v>
      </c>
      <c r="E119">
        <v>26</v>
      </c>
      <c r="F119">
        <v>14</v>
      </c>
      <c r="G119">
        <v>3</v>
      </c>
      <c r="H119">
        <v>9</v>
      </c>
      <c r="I119">
        <v>1</v>
      </c>
    </row>
    <row r="120" spans="1:9">
      <c r="A120" t="s">
        <v>390</v>
      </c>
      <c r="B120" t="s">
        <v>907</v>
      </c>
      <c r="C120" t="s">
        <v>908</v>
      </c>
      <c r="D120">
        <v>4.2826086956521703</v>
      </c>
      <c r="E120">
        <v>138</v>
      </c>
      <c r="F120">
        <v>116</v>
      </c>
      <c r="G120">
        <v>2</v>
      </c>
      <c r="H120">
        <v>20</v>
      </c>
      <c r="I120">
        <v>1</v>
      </c>
    </row>
    <row r="121" spans="1:9">
      <c r="A121" t="s">
        <v>203</v>
      </c>
      <c r="B121" t="s">
        <v>907</v>
      </c>
      <c r="C121" t="s">
        <v>908</v>
      </c>
      <c r="D121">
        <v>4.3066666666666604</v>
      </c>
      <c r="E121">
        <v>75</v>
      </c>
      <c r="F121">
        <v>63</v>
      </c>
      <c r="G121">
        <v>5</v>
      </c>
      <c r="H121">
        <v>7</v>
      </c>
      <c r="I121">
        <v>1</v>
      </c>
    </row>
    <row r="122" spans="1:9">
      <c r="A122" t="s">
        <v>773</v>
      </c>
      <c r="B122" t="s">
        <v>907</v>
      </c>
      <c r="C122" t="s">
        <v>908</v>
      </c>
      <c r="D122">
        <v>4.3103448275862002</v>
      </c>
      <c r="E122">
        <v>29</v>
      </c>
      <c r="F122">
        <v>23</v>
      </c>
      <c r="G122">
        <v>4</v>
      </c>
      <c r="H122">
        <v>2</v>
      </c>
      <c r="I122">
        <v>1</v>
      </c>
    </row>
    <row r="123" spans="1:9">
      <c r="A123" t="s">
        <v>222</v>
      </c>
      <c r="B123" t="s">
        <v>932</v>
      </c>
      <c r="C123" t="s">
        <v>908</v>
      </c>
      <c r="D123">
        <v>3.98240165631469</v>
      </c>
      <c r="E123">
        <v>1932</v>
      </c>
      <c r="F123">
        <v>1435</v>
      </c>
      <c r="G123">
        <v>146</v>
      </c>
      <c r="H123">
        <v>351</v>
      </c>
      <c r="I123">
        <v>1</v>
      </c>
    </row>
    <row r="124" spans="1:9">
      <c r="A124" t="s">
        <v>785</v>
      </c>
      <c r="B124" t="s">
        <v>1006</v>
      </c>
      <c r="C124" t="s">
        <v>908</v>
      </c>
      <c r="D124">
        <v>4.0897435897435797</v>
      </c>
      <c r="E124">
        <v>78</v>
      </c>
      <c r="F124">
        <v>59</v>
      </c>
      <c r="G124">
        <v>13</v>
      </c>
      <c r="H124">
        <v>6</v>
      </c>
      <c r="I124">
        <v>1</v>
      </c>
    </row>
    <row r="125" spans="1:9">
      <c r="A125" t="s">
        <v>479</v>
      </c>
      <c r="B125" t="s">
        <v>1007</v>
      </c>
      <c r="C125" t="s">
        <v>959</v>
      </c>
      <c r="D125">
        <v>4.28</v>
      </c>
      <c r="E125">
        <v>25</v>
      </c>
      <c r="F125">
        <v>21</v>
      </c>
      <c r="G125">
        <v>2</v>
      </c>
      <c r="H125">
        <v>2</v>
      </c>
      <c r="I125">
        <v>1</v>
      </c>
    </row>
    <row r="126" spans="1:9">
      <c r="A126" t="s">
        <v>90</v>
      </c>
      <c r="B126" t="s">
        <v>1008</v>
      </c>
      <c r="C126" t="s">
        <v>908</v>
      </c>
      <c r="D126">
        <v>3.72727272727272</v>
      </c>
      <c r="E126">
        <v>44</v>
      </c>
      <c r="F126">
        <v>31</v>
      </c>
      <c r="G126">
        <v>0</v>
      </c>
      <c r="H126">
        <v>13</v>
      </c>
      <c r="I126">
        <v>1</v>
      </c>
    </row>
    <row r="127" spans="1:9">
      <c r="A127" t="s">
        <v>114</v>
      </c>
      <c r="B127" t="s">
        <v>1009</v>
      </c>
      <c r="C127" t="s">
        <v>920</v>
      </c>
      <c r="D127">
        <v>3.84313725490196</v>
      </c>
      <c r="E127">
        <v>51</v>
      </c>
      <c r="F127">
        <v>36</v>
      </c>
      <c r="G127">
        <v>5</v>
      </c>
      <c r="H127">
        <v>10</v>
      </c>
      <c r="I127">
        <v>1</v>
      </c>
    </row>
    <row r="128" spans="1:9">
      <c r="A128" t="s">
        <v>95</v>
      </c>
      <c r="B128" t="s">
        <v>907</v>
      </c>
      <c r="C128" t="s">
        <v>908</v>
      </c>
      <c r="D128">
        <v>4.3518518518518503</v>
      </c>
      <c r="E128">
        <v>54</v>
      </c>
      <c r="F128">
        <v>47</v>
      </c>
      <c r="G128">
        <v>3</v>
      </c>
      <c r="H128">
        <v>4</v>
      </c>
      <c r="I128">
        <v>1</v>
      </c>
    </row>
    <row r="129" spans="1:9">
      <c r="A129" t="s">
        <v>226</v>
      </c>
      <c r="B129" t="s">
        <v>907</v>
      </c>
      <c r="C129" t="s">
        <v>908</v>
      </c>
      <c r="D129">
        <v>3.8997668997668899</v>
      </c>
      <c r="E129">
        <v>429</v>
      </c>
      <c r="F129">
        <v>303</v>
      </c>
      <c r="G129">
        <v>49</v>
      </c>
      <c r="H129">
        <v>77</v>
      </c>
      <c r="I129">
        <v>1</v>
      </c>
    </row>
    <row r="130" spans="1:9">
      <c r="A130" t="s">
        <v>899</v>
      </c>
      <c r="B130" t="s">
        <v>1010</v>
      </c>
      <c r="C130" t="s">
        <v>908</v>
      </c>
      <c r="D130">
        <v>3.7916666666666599</v>
      </c>
      <c r="E130">
        <v>192</v>
      </c>
      <c r="F130">
        <v>132</v>
      </c>
      <c r="G130">
        <v>20</v>
      </c>
      <c r="H130">
        <v>40</v>
      </c>
      <c r="I130">
        <v>1</v>
      </c>
    </row>
    <row r="131" spans="1:9">
      <c r="A131" t="s">
        <v>492</v>
      </c>
      <c r="B131" t="s">
        <v>1011</v>
      </c>
      <c r="C131" t="s">
        <v>908</v>
      </c>
      <c r="D131">
        <v>3.8636363636363602</v>
      </c>
      <c r="E131">
        <v>22</v>
      </c>
      <c r="F131">
        <v>16</v>
      </c>
      <c r="G131">
        <v>2</v>
      </c>
      <c r="H131">
        <v>4</v>
      </c>
      <c r="I131">
        <v>1</v>
      </c>
    </row>
    <row r="132" spans="1:9">
      <c r="A132" t="s">
        <v>871</v>
      </c>
      <c r="B132" t="s">
        <v>941</v>
      </c>
      <c r="C132" t="s">
        <v>908</v>
      </c>
      <c r="D132">
        <v>4.1428571428571397</v>
      </c>
      <c r="E132">
        <v>427</v>
      </c>
      <c r="F132">
        <v>340</v>
      </c>
      <c r="G132">
        <v>31</v>
      </c>
      <c r="H132">
        <v>56</v>
      </c>
      <c r="I132">
        <v>1</v>
      </c>
    </row>
    <row r="133" spans="1:9">
      <c r="A133" t="s">
        <v>44</v>
      </c>
      <c r="B133" t="s">
        <v>1012</v>
      </c>
      <c r="C133" t="s">
        <v>908</v>
      </c>
      <c r="D133">
        <v>4.2903225806451601</v>
      </c>
      <c r="E133">
        <v>31</v>
      </c>
      <c r="F133">
        <v>24</v>
      </c>
      <c r="G133">
        <v>4</v>
      </c>
      <c r="H133">
        <v>3</v>
      </c>
      <c r="I133">
        <v>1</v>
      </c>
    </row>
    <row r="134" spans="1:9">
      <c r="A134" t="s">
        <v>552</v>
      </c>
      <c r="B134" t="s">
        <v>912</v>
      </c>
      <c r="C134" t="s">
        <v>913</v>
      </c>
      <c r="D134">
        <v>3.6438356164383499</v>
      </c>
      <c r="E134">
        <v>146</v>
      </c>
      <c r="F134">
        <v>99</v>
      </c>
      <c r="G134">
        <v>10</v>
      </c>
      <c r="H134">
        <v>37</v>
      </c>
      <c r="I134">
        <v>1</v>
      </c>
    </row>
    <row r="135" spans="1:9">
      <c r="A135" t="s">
        <v>485</v>
      </c>
      <c r="B135" t="s">
        <v>1013</v>
      </c>
      <c r="C135" t="s">
        <v>908</v>
      </c>
      <c r="D135">
        <v>4.0857142857142801</v>
      </c>
      <c r="E135">
        <v>35</v>
      </c>
      <c r="F135">
        <v>28</v>
      </c>
      <c r="G135">
        <v>2</v>
      </c>
      <c r="H135">
        <v>5</v>
      </c>
      <c r="I135">
        <v>1</v>
      </c>
    </row>
    <row r="136" spans="1:9">
      <c r="A136" t="s">
        <v>352</v>
      </c>
      <c r="B136" t="s">
        <v>939</v>
      </c>
      <c r="C136" t="s">
        <v>908</v>
      </c>
      <c r="D136">
        <v>3.65822784810126</v>
      </c>
      <c r="E136">
        <v>79</v>
      </c>
      <c r="F136">
        <v>50</v>
      </c>
      <c r="G136">
        <v>6</v>
      </c>
      <c r="H136">
        <v>23</v>
      </c>
      <c r="I136">
        <v>1</v>
      </c>
    </row>
    <row r="137" spans="1:9">
      <c r="A137" t="s">
        <v>656</v>
      </c>
      <c r="B137" t="s">
        <v>1014</v>
      </c>
      <c r="C137" t="s">
        <v>908</v>
      </c>
      <c r="D137">
        <v>3.9655172413793101</v>
      </c>
      <c r="E137">
        <v>29</v>
      </c>
      <c r="F137">
        <v>20</v>
      </c>
      <c r="G137">
        <v>5</v>
      </c>
      <c r="H137">
        <v>4</v>
      </c>
      <c r="I137">
        <v>1</v>
      </c>
    </row>
    <row r="138" spans="1:9">
      <c r="A138" t="s">
        <v>230</v>
      </c>
      <c r="B138" t="s">
        <v>1015</v>
      </c>
      <c r="C138" t="s">
        <v>908</v>
      </c>
      <c r="D138">
        <v>3.9583333333333299</v>
      </c>
      <c r="E138">
        <v>24</v>
      </c>
      <c r="F138">
        <v>17</v>
      </c>
      <c r="G138">
        <v>2</v>
      </c>
      <c r="H138">
        <v>5</v>
      </c>
      <c r="I138">
        <v>1</v>
      </c>
    </row>
    <row r="139" spans="1:9">
      <c r="A139" t="s">
        <v>274</v>
      </c>
      <c r="B139" t="s">
        <v>1016</v>
      </c>
      <c r="C139" t="s">
        <v>908</v>
      </c>
      <c r="D139">
        <v>4.3043478260869499</v>
      </c>
      <c r="E139">
        <v>46</v>
      </c>
      <c r="F139">
        <v>37</v>
      </c>
      <c r="G139">
        <v>8</v>
      </c>
      <c r="H139">
        <v>1</v>
      </c>
      <c r="I139">
        <v>1</v>
      </c>
    </row>
    <row r="140" spans="1:9">
      <c r="A140" t="s">
        <v>797</v>
      </c>
      <c r="B140" t="s">
        <v>1017</v>
      </c>
      <c r="C140" t="s">
        <v>908</v>
      </c>
      <c r="D140">
        <v>3.8113207547169798</v>
      </c>
      <c r="E140">
        <v>53</v>
      </c>
      <c r="F140">
        <v>36</v>
      </c>
      <c r="G140">
        <v>7</v>
      </c>
      <c r="H140">
        <v>10</v>
      </c>
      <c r="I140">
        <v>1</v>
      </c>
    </row>
    <row r="141" spans="1:9">
      <c r="A141" t="s">
        <v>511</v>
      </c>
      <c r="B141" t="s">
        <v>1018</v>
      </c>
      <c r="C141" t="s">
        <v>959</v>
      </c>
      <c r="D141">
        <v>4.2777777777777697</v>
      </c>
      <c r="E141">
        <v>36</v>
      </c>
      <c r="F141">
        <v>30</v>
      </c>
      <c r="G141">
        <v>2</v>
      </c>
      <c r="H141">
        <v>4</v>
      </c>
      <c r="I141">
        <v>1</v>
      </c>
    </row>
    <row r="142" spans="1:9">
      <c r="A142" t="s">
        <v>103</v>
      </c>
      <c r="B142" t="s">
        <v>1019</v>
      </c>
      <c r="C142" t="s">
        <v>908</v>
      </c>
      <c r="D142">
        <v>3.7</v>
      </c>
      <c r="E142">
        <v>30</v>
      </c>
      <c r="F142">
        <v>20</v>
      </c>
      <c r="G142">
        <v>4</v>
      </c>
      <c r="H142">
        <v>6</v>
      </c>
      <c r="I142">
        <v>1</v>
      </c>
    </row>
    <row r="143" spans="1:9">
      <c r="A143" t="s">
        <v>780</v>
      </c>
      <c r="B143" t="s">
        <v>937</v>
      </c>
      <c r="C143" t="s">
        <v>908</v>
      </c>
      <c r="D143">
        <v>3.9451219512195101</v>
      </c>
      <c r="E143">
        <v>164</v>
      </c>
      <c r="F143">
        <v>117</v>
      </c>
      <c r="G143">
        <v>18</v>
      </c>
      <c r="H143">
        <v>29</v>
      </c>
      <c r="I143">
        <v>1</v>
      </c>
    </row>
    <row r="144" spans="1:9">
      <c r="A144" t="s">
        <v>535</v>
      </c>
      <c r="B144" t="s">
        <v>1020</v>
      </c>
      <c r="C144" t="s">
        <v>908</v>
      </c>
      <c r="D144">
        <v>4.2060606060605998</v>
      </c>
      <c r="E144">
        <v>165</v>
      </c>
      <c r="F144">
        <v>133</v>
      </c>
      <c r="G144">
        <v>8</v>
      </c>
      <c r="H144">
        <v>24</v>
      </c>
      <c r="I144">
        <v>1</v>
      </c>
    </row>
    <row r="145" spans="1:9">
      <c r="A145" t="s">
        <v>852</v>
      </c>
      <c r="B145" t="s">
        <v>1021</v>
      </c>
      <c r="C145" t="s">
        <v>913</v>
      </c>
      <c r="D145">
        <v>3.7032967032966999</v>
      </c>
      <c r="E145">
        <v>273</v>
      </c>
      <c r="F145">
        <v>185</v>
      </c>
      <c r="G145">
        <v>26</v>
      </c>
      <c r="H145">
        <v>62</v>
      </c>
      <c r="I145">
        <v>1</v>
      </c>
    </row>
    <row r="146" spans="1:9">
      <c r="A146" t="s">
        <v>521</v>
      </c>
      <c r="B146" t="s">
        <v>1022</v>
      </c>
      <c r="C146" t="s">
        <v>908</v>
      </c>
      <c r="D146">
        <v>4.3265306122448903</v>
      </c>
      <c r="E146">
        <v>49</v>
      </c>
      <c r="F146">
        <v>40</v>
      </c>
      <c r="G146">
        <v>4</v>
      </c>
      <c r="H146">
        <v>5</v>
      </c>
      <c r="I146">
        <v>1</v>
      </c>
    </row>
    <row r="147" spans="1:9">
      <c r="A147" t="s">
        <v>701</v>
      </c>
      <c r="B147" t="s">
        <v>907</v>
      </c>
      <c r="C147" t="s">
        <v>908</v>
      </c>
      <c r="D147">
        <v>4.3846153846153797</v>
      </c>
      <c r="E147">
        <v>117</v>
      </c>
      <c r="F147">
        <v>102</v>
      </c>
      <c r="G147">
        <v>4</v>
      </c>
      <c r="H147">
        <v>11</v>
      </c>
      <c r="I147">
        <v>1</v>
      </c>
    </row>
    <row r="148" spans="1:9">
      <c r="A148" t="s">
        <v>454</v>
      </c>
      <c r="B148" t="s">
        <v>1023</v>
      </c>
      <c r="C148" t="s">
        <v>920</v>
      </c>
      <c r="D148">
        <v>4.2368421052631504</v>
      </c>
      <c r="E148">
        <v>38</v>
      </c>
      <c r="F148">
        <v>31</v>
      </c>
      <c r="G148">
        <v>2</v>
      </c>
      <c r="H148">
        <v>5</v>
      </c>
      <c r="I148">
        <v>1</v>
      </c>
    </row>
    <row r="149" spans="1:9">
      <c r="A149" t="s">
        <v>666</v>
      </c>
      <c r="B149" t="s">
        <v>907</v>
      </c>
      <c r="C149" t="s">
        <v>908</v>
      </c>
      <c r="D149">
        <v>2.5652173913043401</v>
      </c>
      <c r="E149">
        <v>46</v>
      </c>
      <c r="F149">
        <v>18</v>
      </c>
      <c r="G149">
        <v>1</v>
      </c>
      <c r="H149">
        <v>27</v>
      </c>
      <c r="I149">
        <v>1</v>
      </c>
    </row>
    <row r="150" spans="1:9">
      <c r="A150" t="s">
        <v>252</v>
      </c>
      <c r="B150" t="s">
        <v>907</v>
      </c>
      <c r="C150" t="s">
        <v>908</v>
      </c>
      <c r="D150">
        <v>4.0689655172413701</v>
      </c>
      <c r="E150">
        <v>29</v>
      </c>
      <c r="F150">
        <v>20</v>
      </c>
      <c r="G150">
        <v>4</v>
      </c>
      <c r="H150">
        <v>5</v>
      </c>
      <c r="I150">
        <v>1</v>
      </c>
    </row>
    <row r="151" spans="1:9">
      <c r="A151" t="s">
        <v>784</v>
      </c>
      <c r="B151" t="s">
        <v>907</v>
      </c>
      <c r="C151" t="s">
        <v>908</v>
      </c>
      <c r="D151">
        <v>3.9230769230769198</v>
      </c>
      <c r="E151">
        <v>39</v>
      </c>
      <c r="F151">
        <v>30</v>
      </c>
      <c r="G151">
        <v>0</v>
      </c>
      <c r="H151">
        <v>9</v>
      </c>
      <c r="I151">
        <v>1</v>
      </c>
    </row>
    <row r="152" spans="1:9">
      <c r="A152" t="s">
        <v>560</v>
      </c>
      <c r="B152" t="s">
        <v>907</v>
      </c>
      <c r="C152" t="s">
        <v>908</v>
      </c>
      <c r="D152">
        <v>3.9677419354838701</v>
      </c>
      <c r="E152">
        <v>31</v>
      </c>
      <c r="F152">
        <v>21</v>
      </c>
      <c r="G152">
        <v>6</v>
      </c>
      <c r="H152">
        <v>4</v>
      </c>
      <c r="I152">
        <v>1</v>
      </c>
    </row>
    <row r="153" spans="1:9">
      <c r="A153" t="s">
        <v>468</v>
      </c>
      <c r="B153" t="s">
        <v>912</v>
      </c>
      <c r="C153" t="s">
        <v>913</v>
      </c>
      <c r="D153">
        <v>3.8085106382978702</v>
      </c>
      <c r="E153">
        <v>47</v>
      </c>
      <c r="F153">
        <v>33</v>
      </c>
      <c r="G153">
        <v>2</v>
      </c>
      <c r="H153">
        <v>12</v>
      </c>
      <c r="I153">
        <v>1</v>
      </c>
    </row>
    <row r="154" spans="1:9">
      <c r="A154" t="s">
        <v>115</v>
      </c>
      <c r="B154" t="s">
        <v>912</v>
      </c>
      <c r="C154" t="s">
        <v>913</v>
      </c>
      <c r="D154">
        <v>4.3</v>
      </c>
      <c r="E154">
        <v>110</v>
      </c>
      <c r="F154">
        <v>89</v>
      </c>
      <c r="G154">
        <v>16</v>
      </c>
      <c r="H154">
        <v>5</v>
      </c>
      <c r="I154">
        <v>1</v>
      </c>
    </row>
    <row r="155" spans="1:9">
      <c r="A155" t="s">
        <v>880</v>
      </c>
      <c r="B155" t="s">
        <v>912</v>
      </c>
      <c r="C155" t="s">
        <v>908</v>
      </c>
      <c r="D155">
        <v>4.5793650793650702</v>
      </c>
      <c r="E155">
        <v>126</v>
      </c>
      <c r="F155">
        <v>115</v>
      </c>
      <c r="G155">
        <v>5</v>
      </c>
      <c r="H155">
        <v>6</v>
      </c>
      <c r="I155">
        <v>1</v>
      </c>
    </row>
    <row r="156" spans="1:9">
      <c r="A156" t="s">
        <v>854</v>
      </c>
      <c r="B156" t="s">
        <v>907</v>
      </c>
      <c r="C156" t="s">
        <v>908</v>
      </c>
      <c r="D156">
        <v>4</v>
      </c>
      <c r="E156">
        <v>28</v>
      </c>
      <c r="F156">
        <v>22</v>
      </c>
      <c r="G156">
        <v>1</v>
      </c>
      <c r="H156">
        <v>5</v>
      </c>
      <c r="I156">
        <v>1</v>
      </c>
    </row>
    <row r="157" spans="1:9">
      <c r="A157" t="s">
        <v>395</v>
      </c>
      <c r="B157" t="s">
        <v>912</v>
      </c>
      <c r="C157" t="s">
        <v>913</v>
      </c>
      <c r="D157">
        <v>3</v>
      </c>
      <c r="E157">
        <v>54</v>
      </c>
      <c r="F157">
        <v>26</v>
      </c>
      <c r="G157">
        <v>6</v>
      </c>
      <c r="H157">
        <v>22</v>
      </c>
      <c r="I157">
        <v>1</v>
      </c>
    </row>
    <row r="158" spans="1:9">
      <c r="A158" t="s">
        <v>613</v>
      </c>
      <c r="B158" t="s">
        <v>939</v>
      </c>
      <c r="C158" t="s">
        <v>908</v>
      </c>
      <c r="D158">
        <v>3.3373493975903599</v>
      </c>
      <c r="E158">
        <v>83</v>
      </c>
      <c r="F158">
        <v>50</v>
      </c>
      <c r="G158">
        <v>3</v>
      </c>
      <c r="H158">
        <v>30</v>
      </c>
      <c r="I158">
        <v>1</v>
      </c>
    </row>
    <row r="159" spans="1:9">
      <c r="A159" t="s">
        <v>246</v>
      </c>
      <c r="B159" t="s">
        <v>1024</v>
      </c>
      <c r="C159" t="s">
        <v>913</v>
      </c>
      <c r="D159">
        <v>4.0833333333333304</v>
      </c>
      <c r="E159">
        <v>60</v>
      </c>
      <c r="F159">
        <v>43</v>
      </c>
      <c r="G159">
        <v>9</v>
      </c>
      <c r="H159">
        <v>8</v>
      </c>
      <c r="I159">
        <v>1</v>
      </c>
    </row>
    <row r="160" spans="1:9">
      <c r="A160" t="s">
        <v>652</v>
      </c>
      <c r="B160" t="s">
        <v>916</v>
      </c>
      <c r="C160" t="s">
        <v>908</v>
      </c>
      <c r="D160">
        <v>3.6521739130434701</v>
      </c>
      <c r="E160">
        <v>23</v>
      </c>
      <c r="F160">
        <v>12</v>
      </c>
      <c r="G160">
        <v>6</v>
      </c>
      <c r="H160">
        <v>5</v>
      </c>
      <c r="I160">
        <v>1</v>
      </c>
    </row>
    <row r="161" spans="1:9">
      <c r="A161" t="s">
        <v>809</v>
      </c>
      <c r="B161" t="s">
        <v>1025</v>
      </c>
      <c r="C161" t="s">
        <v>930</v>
      </c>
      <c r="D161">
        <v>3.9310344827586201</v>
      </c>
      <c r="E161">
        <v>29</v>
      </c>
      <c r="F161">
        <v>20</v>
      </c>
      <c r="G161">
        <v>4</v>
      </c>
      <c r="H161">
        <v>5</v>
      </c>
      <c r="I161">
        <v>1</v>
      </c>
    </row>
    <row r="162" spans="1:9">
      <c r="A162" t="s">
        <v>631</v>
      </c>
      <c r="B162" t="s">
        <v>907</v>
      </c>
      <c r="C162" t="s">
        <v>908</v>
      </c>
      <c r="D162">
        <v>4.0925925925925899</v>
      </c>
      <c r="E162">
        <v>54</v>
      </c>
      <c r="F162">
        <v>43</v>
      </c>
      <c r="G162">
        <v>5</v>
      </c>
      <c r="H162">
        <v>6</v>
      </c>
      <c r="I162">
        <v>1</v>
      </c>
    </row>
    <row r="163" spans="1:9">
      <c r="A163" t="s">
        <v>301</v>
      </c>
      <c r="B163" t="s">
        <v>912</v>
      </c>
      <c r="C163" t="s">
        <v>913</v>
      </c>
      <c r="D163">
        <v>4.2335329341317296</v>
      </c>
      <c r="E163">
        <v>167</v>
      </c>
      <c r="F163">
        <v>133</v>
      </c>
      <c r="G163">
        <v>15</v>
      </c>
      <c r="H163">
        <v>19</v>
      </c>
      <c r="I163">
        <v>1</v>
      </c>
    </row>
    <row r="164" spans="1:9">
      <c r="A164" s="2" t="s">
        <v>161</v>
      </c>
      <c r="B164" t="s">
        <v>933</v>
      </c>
      <c r="C164" t="s">
        <v>913</v>
      </c>
      <c r="D164">
        <v>3.6285714285714201</v>
      </c>
      <c r="E164">
        <v>35</v>
      </c>
      <c r="F164">
        <v>20</v>
      </c>
      <c r="G164">
        <v>7</v>
      </c>
      <c r="H164">
        <v>8</v>
      </c>
      <c r="I164">
        <v>1</v>
      </c>
    </row>
    <row r="165" spans="1:9">
      <c r="A165" t="s">
        <v>131</v>
      </c>
      <c r="B165" t="s">
        <v>907</v>
      </c>
      <c r="C165" t="s">
        <v>908</v>
      </c>
      <c r="D165">
        <v>4.3888888888888804</v>
      </c>
      <c r="E165">
        <v>54</v>
      </c>
      <c r="F165">
        <v>46</v>
      </c>
      <c r="G165">
        <v>4</v>
      </c>
      <c r="H165">
        <v>4</v>
      </c>
      <c r="I165">
        <v>1</v>
      </c>
    </row>
    <row r="166" spans="1:9">
      <c r="A166" t="s">
        <v>357</v>
      </c>
      <c r="B166" t="s">
        <v>989</v>
      </c>
      <c r="C166" t="s">
        <v>959</v>
      </c>
      <c r="D166">
        <v>4.1935483870967696</v>
      </c>
      <c r="E166">
        <v>31</v>
      </c>
      <c r="F166">
        <v>25</v>
      </c>
      <c r="G166">
        <v>2</v>
      </c>
      <c r="H166">
        <v>4</v>
      </c>
      <c r="I166">
        <v>1</v>
      </c>
    </row>
    <row r="167" spans="1:9">
      <c r="A167" s="2" t="s">
        <v>842</v>
      </c>
      <c r="B167" t="s">
        <v>1019</v>
      </c>
      <c r="C167" t="s">
        <v>908</v>
      </c>
      <c r="D167">
        <v>3.9239766081871301</v>
      </c>
      <c r="E167">
        <v>171</v>
      </c>
      <c r="F167">
        <v>124</v>
      </c>
      <c r="G167">
        <v>13</v>
      </c>
      <c r="H167">
        <v>34</v>
      </c>
      <c r="I167">
        <v>1</v>
      </c>
    </row>
    <row r="168" spans="1:9">
      <c r="A168" t="s">
        <v>345</v>
      </c>
      <c r="B168" t="s">
        <v>911</v>
      </c>
      <c r="C168" t="s">
        <v>908</v>
      </c>
      <c r="D168">
        <v>3.6444444444444399</v>
      </c>
      <c r="E168">
        <v>45</v>
      </c>
      <c r="F168">
        <v>29</v>
      </c>
      <c r="G168">
        <v>5</v>
      </c>
      <c r="H168">
        <v>11</v>
      </c>
      <c r="I168">
        <v>1</v>
      </c>
    </row>
    <row r="169" spans="1:9">
      <c r="A169" t="s">
        <v>522</v>
      </c>
      <c r="B169" t="s">
        <v>1026</v>
      </c>
      <c r="C169" t="s">
        <v>1027</v>
      </c>
      <c r="D169">
        <v>4.3636363636363598</v>
      </c>
      <c r="E169">
        <v>55</v>
      </c>
      <c r="F169">
        <v>46</v>
      </c>
      <c r="G169">
        <v>5</v>
      </c>
      <c r="H169">
        <v>4</v>
      </c>
      <c r="I169">
        <v>1</v>
      </c>
    </row>
    <row r="170" spans="1:9">
      <c r="A170" t="s">
        <v>503</v>
      </c>
      <c r="B170" t="s">
        <v>907</v>
      </c>
      <c r="C170" t="s">
        <v>908</v>
      </c>
      <c r="D170">
        <v>4.25</v>
      </c>
      <c r="E170">
        <v>28</v>
      </c>
      <c r="F170">
        <v>21</v>
      </c>
      <c r="G170">
        <v>4</v>
      </c>
      <c r="H170">
        <v>3</v>
      </c>
      <c r="I170">
        <v>1</v>
      </c>
    </row>
    <row r="171" spans="1:9">
      <c r="A171" t="s">
        <v>889</v>
      </c>
      <c r="B171" t="s">
        <v>907</v>
      </c>
      <c r="C171" t="s">
        <v>908</v>
      </c>
      <c r="D171">
        <v>3.6956521739130399</v>
      </c>
      <c r="E171">
        <v>23</v>
      </c>
      <c r="F171">
        <v>16</v>
      </c>
      <c r="G171">
        <v>0</v>
      </c>
      <c r="H171">
        <v>7</v>
      </c>
      <c r="I171">
        <v>1</v>
      </c>
    </row>
    <row r="172" spans="1:9">
      <c r="A172" t="s">
        <v>706</v>
      </c>
      <c r="B172" t="s">
        <v>907</v>
      </c>
      <c r="C172" t="s">
        <v>908</v>
      </c>
      <c r="D172">
        <v>4.16374269005847</v>
      </c>
      <c r="E172">
        <v>171</v>
      </c>
      <c r="F172">
        <v>135</v>
      </c>
      <c r="G172">
        <v>14</v>
      </c>
      <c r="H172">
        <v>22</v>
      </c>
      <c r="I172">
        <v>1</v>
      </c>
    </row>
    <row r="173" spans="1:9">
      <c r="A173" t="s">
        <v>409</v>
      </c>
      <c r="B173" t="s">
        <v>907</v>
      </c>
      <c r="C173" t="s">
        <v>908</v>
      </c>
      <c r="D173">
        <v>4.0364963503649598</v>
      </c>
      <c r="E173">
        <v>137</v>
      </c>
      <c r="F173">
        <v>102</v>
      </c>
      <c r="G173">
        <v>12</v>
      </c>
      <c r="H173">
        <v>23</v>
      </c>
      <c r="I173">
        <v>1</v>
      </c>
    </row>
    <row r="174" spans="1:9">
      <c r="A174" t="s">
        <v>752</v>
      </c>
      <c r="B174" t="s">
        <v>914</v>
      </c>
      <c r="C174" t="s">
        <v>908</v>
      </c>
      <c r="D174">
        <v>2.7129186602870798</v>
      </c>
      <c r="E174">
        <v>209</v>
      </c>
      <c r="F174">
        <v>76</v>
      </c>
      <c r="G174">
        <v>28</v>
      </c>
      <c r="H174">
        <v>105</v>
      </c>
      <c r="I174">
        <v>1</v>
      </c>
    </row>
    <row r="175" spans="1:9">
      <c r="A175" t="s">
        <v>118</v>
      </c>
      <c r="B175" t="s">
        <v>1010</v>
      </c>
      <c r="C175" t="s">
        <v>908</v>
      </c>
      <c r="D175">
        <v>4.5416666666666599</v>
      </c>
      <c r="E175">
        <v>96</v>
      </c>
      <c r="F175">
        <v>88</v>
      </c>
      <c r="G175">
        <v>5</v>
      </c>
      <c r="H175">
        <v>3</v>
      </c>
      <c r="I175">
        <v>1</v>
      </c>
    </row>
    <row r="176" spans="1:9">
      <c r="A176" t="s">
        <v>200</v>
      </c>
      <c r="B176" t="s">
        <v>1028</v>
      </c>
      <c r="C176" t="s">
        <v>908</v>
      </c>
      <c r="D176">
        <v>4.203125</v>
      </c>
      <c r="E176">
        <v>64</v>
      </c>
      <c r="F176">
        <v>51</v>
      </c>
      <c r="G176">
        <v>4</v>
      </c>
      <c r="H176">
        <v>9</v>
      </c>
      <c r="I176">
        <v>1</v>
      </c>
    </row>
    <row r="177" spans="1:9">
      <c r="A177" t="s">
        <v>530</v>
      </c>
      <c r="B177" t="s">
        <v>1029</v>
      </c>
      <c r="C177" t="s">
        <v>925</v>
      </c>
      <c r="D177">
        <v>3.5806451612903198</v>
      </c>
      <c r="E177">
        <v>31</v>
      </c>
      <c r="F177">
        <v>20</v>
      </c>
      <c r="G177">
        <v>2</v>
      </c>
      <c r="H177">
        <v>9</v>
      </c>
      <c r="I177">
        <v>1</v>
      </c>
    </row>
    <row r="178" spans="1:9">
      <c r="A178" t="s">
        <v>19</v>
      </c>
      <c r="B178" t="s">
        <v>1030</v>
      </c>
      <c r="C178" t="s">
        <v>908</v>
      </c>
      <c r="D178">
        <v>3.5714285714285698</v>
      </c>
      <c r="E178">
        <v>21</v>
      </c>
      <c r="F178">
        <v>11</v>
      </c>
      <c r="G178">
        <v>4</v>
      </c>
      <c r="H178">
        <v>6</v>
      </c>
      <c r="I178">
        <v>1</v>
      </c>
    </row>
    <row r="179" spans="1:9">
      <c r="A179" s="2" t="s">
        <v>374</v>
      </c>
      <c r="B179" t="s">
        <v>1031</v>
      </c>
      <c r="C179" t="s">
        <v>908</v>
      </c>
      <c r="D179">
        <v>4.2613636363636296</v>
      </c>
      <c r="E179">
        <v>88</v>
      </c>
      <c r="F179">
        <v>71</v>
      </c>
      <c r="G179">
        <v>5</v>
      </c>
      <c r="H179">
        <v>12</v>
      </c>
      <c r="I179">
        <v>1</v>
      </c>
    </row>
    <row r="180" spans="1:9">
      <c r="A180" t="s">
        <v>214</v>
      </c>
      <c r="B180" t="s">
        <v>907</v>
      </c>
      <c r="C180" t="s">
        <v>908</v>
      </c>
      <c r="D180">
        <v>4.8499999999999996</v>
      </c>
      <c r="E180">
        <v>20</v>
      </c>
      <c r="F180">
        <v>20</v>
      </c>
      <c r="G180">
        <v>0</v>
      </c>
      <c r="H180">
        <v>0</v>
      </c>
      <c r="I180">
        <v>1</v>
      </c>
    </row>
    <row r="181" spans="1:9">
      <c r="A181" t="s">
        <v>334</v>
      </c>
      <c r="B181" t="s">
        <v>985</v>
      </c>
      <c r="C181" t="s">
        <v>913</v>
      </c>
      <c r="D181">
        <v>4.34883720930232</v>
      </c>
      <c r="E181">
        <v>43</v>
      </c>
      <c r="F181">
        <v>36</v>
      </c>
      <c r="G181">
        <v>2</v>
      </c>
      <c r="H181">
        <v>5</v>
      </c>
      <c r="I181">
        <v>1</v>
      </c>
    </row>
    <row r="182" spans="1:9">
      <c r="A182" t="s">
        <v>381</v>
      </c>
      <c r="B182" t="s">
        <v>907</v>
      </c>
      <c r="C182" t="s">
        <v>908</v>
      </c>
      <c r="D182">
        <v>4.5789473684210504</v>
      </c>
      <c r="E182">
        <v>38</v>
      </c>
      <c r="F182">
        <v>34</v>
      </c>
      <c r="G182">
        <v>2</v>
      </c>
      <c r="H182">
        <v>2</v>
      </c>
      <c r="I182">
        <v>1</v>
      </c>
    </row>
    <row r="183" spans="1:9">
      <c r="A183" t="s">
        <v>589</v>
      </c>
      <c r="B183" t="s">
        <v>907</v>
      </c>
      <c r="C183" t="s">
        <v>908</v>
      </c>
      <c r="D183">
        <v>3.87096774193548</v>
      </c>
      <c r="E183">
        <v>62</v>
      </c>
      <c r="F183">
        <v>44</v>
      </c>
      <c r="G183">
        <v>5</v>
      </c>
      <c r="H183">
        <v>13</v>
      </c>
      <c r="I183">
        <v>1</v>
      </c>
    </row>
    <row r="184" spans="1:9">
      <c r="A184" t="s">
        <v>771</v>
      </c>
      <c r="B184" t="s">
        <v>1032</v>
      </c>
      <c r="C184" t="s">
        <v>908</v>
      </c>
      <c r="D184">
        <v>4.2333333333333298</v>
      </c>
      <c r="E184">
        <v>30</v>
      </c>
      <c r="F184">
        <v>24</v>
      </c>
      <c r="G184">
        <v>3</v>
      </c>
      <c r="H184">
        <v>3</v>
      </c>
      <c r="I184">
        <v>1</v>
      </c>
    </row>
    <row r="185" spans="1:9">
      <c r="A185" t="s">
        <v>138</v>
      </c>
      <c r="B185" t="s">
        <v>907</v>
      </c>
      <c r="C185" t="s">
        <v>908</v>
      </c>
      <c r="D185">
        <v>4.3103448275862002</v>
      </c>
      <c r="E185">
        <v>29</v>
      </c>
      <c r="F185">
        <v>26</v>
      </c>
      <c r="G185">
        <v>0</v>
      </c>
      <c r="H185">
        <v>3</v>
      </c>
      <c r="I185">
        <v>1</v>
      </c>
    </row>
    <row r="186" spans="1:9">
      <c r="A186" t="s">
        <v>419</v>
      </c>
      <c r="B186" t="s">
        <v>1033</v>
      </c>
      <c r="C186" t="s">
        <v>908</v>
      </c>
      <c r="D186">
        <v>4.4565217391304301</v>
      </c>
      <c r="E186">
        <v>46</v>
      </c>
      <c r="F186">
        <v>40</v>
      </c>
      <c r="G186">
        <v>2</v>
      </c>
      <c r="H186">
        <v>4</v>
      </c>
      <c r="I186">
        <v>1</v>
      </c>
    </row>
    <row r="187" spans="1:9">
      <c r="A187" t="s">
        <v>336</v>
      </c>
      <c r="B187" t="s">
        <v>1034</v>
      </c>
      <c r="C187" t="s">
        <v>930</v>
      </c>
      <c r="D187">
        <v>4.2368421052631504</v>
      </c>
      <c r="E187">
        <v>38</v>
      </c>
      <c r="F187">
        <v>29</v>
      </c>
      <c r="G187">
        <v>7</v>
      </c>
      <c r="H187">
        <v>2</v>
      </c>
      <c r="I187">
        <v>1</v>
      </c>
    </row>
    <row r="188" spans="1:9">
      <c r="A188" t="s">
        <v>310</v>
      </c>
      <c r="B188" t="s">
        <v>950</v>
      </c>
      <c r="C188" t="s">
        <v>920</v>
      </c>
      <c r="D188">
        <v>4.3333333333333304</v>
      </c>
      <c r="E188">
        <v>42</v>
      </c>
      <c r="F188">
        <v>35</v>
      </c>
      <c r="G188">
        <v>4</v>
      </c>
      <c r="H188">
        <v>3</v>
      </c>
      <c r="I188">
        <v>1</v>
      </c>
    </row>
    <row r="189" spans="1:9">
      <c r="A189" t="s">
        <v>396</v>
      </c>
      <c r="B189" t="s">
        <v>916</v>
      </c>
      <c r="C189" t="s">
        <v>908</v>
      </c>
      <c r="D189">
        <v>4.9615384615384599</v>
      </c>
      <c r="E189">
        <v>26</v>
      </c>
      <c r="F189">
        <v>26</v>
      </c>
      <c r="G189">
        <v>0</v>
      </c>
      <c r="H189">
        <v>0</v>
      </c>
      <c r="I189">
        <v>1</v>
      </c>
    </row>
    <row r="190" spans="1:9">
      <c r="A190" t="s">
        <v>711</v>
      </c>
      <c r="B190" t="s">
        <v>919</v>
      </c>
      <c r="C190" t="s">
        <v>920</v>
      </c>
      <c r="D190">
        <v>4.1212121212121202</v>
      </c>
      <c r="E190">
        <v>33</v>
      </c>
      <c r="F190">
        <v>26</v>
      </c>
      <c r="G190">
        <v>4</v>
      </c>
      <c r="H190">
        <v>3</v>
      </c>
      <c r="I190">
        <v>1</v>
      </c>
    </row>
    <row r="191" spans="1:9">
      <c r="A191" t="s">
        <v>531</v>
      </c>
      <c r="B191" t="s">
        <v>950</v>
      </c>
      <c r="C191" t="s">
        <v>920</v>
      </c>
      <c r="D191">
        <v>4.21428571428571</v>
      </c>
      <c r="E191">
        <v>42</v>
      </c>
      <c r="F191">
        <v>33</v>
      </c>
      <c r="G191">
        <v>7</v>
      </c>
      <c r="H191">
        <v>2</v>
      </c>
      <c r="I191">
        <v>1</v>
      </c>
    </row>
    <row r="192" spans="1:9">
      <c r="A192" t="s">
        <v>746</v>
      </c>
      <c r="B192" t="s">
        <v>966</v>
      </c>
      <c r="C192" t="s">
        <v>925</v>
      </c>
      <c r="D192">
        <v>4.6170212765957404</v>
      </c>
      <c r="E192">
        <v>47</v>
      </c>
      <c r="F192">
        <v>42</v>
      </c>
      <c r="G192">
        <v>4</v>
      </c>
      <c r="H192">
        <v>1</v>
      </c>
      <c r="I192">
        <v>1</v>
      </c>
    </row>
    <row r="193" spans="1:9">
      <c r="A193" t="s">
        <v>445</v>
      </c>
      <c r="B193" t="s">
        <v>938</v>
      </c>
      <c r="C193" t="s">
        <v>908</v>
      </c>
      <c r="D193">
        <v>4.3571428571428497</v>
      </c>
      <c r="E193">
        <v>126</v>
      </c>
      <c r="F193">
        <v>108</v>
      </c>
      <c r="G193">
        <v>5</v>
      </c>
      <c r="H193">
        <v>13</v>
      </c>
      <c r="I193">
        <v>1</v>
      </c>
    </row>
    <row r="194" spans="1:9">
      <c r="A194" t="s">
        <v>217</v>
      </c>
      <c r="B194" t="s">
        <v>1022</v>
      </c>
      <c r="C194" t="s">
        <v>908</v>
      </c>
      <c r="D194">
        <v>4.2285714285714198</v>
      </c>
      <c r="E194">
        <v>35</v>
      </c>
      <c r="F194">
        <v>28</v>
      </c>
      <c r="G194">
        <v>3</v>
      </c>
      <c r="H194">
        <v>4</v>
      </c>
      <c r="I194">
        <v>1</v>
      </c>
    </row>
    <row r="195" spans="1:9">
      <c r="A195" t="s">
        <v>595</v>
      </c>
      <c r="B195" t="s">
        <v>1000</v>
      </c>
      <c r="C195" t="s">
        <v>908</v>
      </c>
      <c r="D195">
        <v>4</v>
      </c>
      <c r="E195">
        <v>78</v>
      </c>
      <c r="F195">
        <v>60</v>
      </c>
      <c r="G195">
        <v>6</v>
      </c>
      <c r="H195">
        <v>12</v>
      </c>
      <c r="I195">
        <v>1</v>
      </c>
    </row>
    <row r="196" spans="1:9">
      <c r="A196" s="2" t="s">
        <v>181</v>
      </c>
      <c r="B196" t="s">
        <v>914</v>
      </c>
      <c r="C196" t="s">
        <v>908</v>
      </c>
      <c r="D196">
        <v>4</v>
      </c>
      <c r="E196">
        <v>23</v>
      </c>
      <c r="F196">
        <v>17</v>
      </c>
      <c r="G196">
        <v>1</v>
      </c>
      <c r="H196">
        <v>5</v>
      </c>
      <c r="I196">
        <v>1</v>
      </c>
    </row>
    <row r="197" spans="1:9">
      <c r="A197" t="s">
        <v>833</v>
      </c>
      <c r="B197" t="s">
        <v>1017</v>
      </c>
      <c r="C197" t="s">
        <v>908</v>
      </c>
      <c r="D197">
        <v>3.88</v>
      </c>
      <c r="E197">
        <v>25</v>
      </c>
      <c r="F197">
        <v>17</v>
      </c>
      <c r="G197">
        <v>3</v>
      </c>
      <c r="H197">
        <v>5</v>
      </c>
      <c r="I197">
        <v>1</v>
      </c>
    </row>
    <row r="198" spans="1:9">
      <c r="A198" t="s">
        <v>506</v>
      </c>
      <c r="B198" t="s">
        <v>1035</v>
      </c>
      <c r="C198" t="s">
        <v>913</v>
      </c>
      <c r="D198">
        <v>4.3</v>
      </c>
      <c r="E198">
        <v>40</v>
      </c>
      <c r="F198">
        <v>32</v>
      </c>
      <c r="G198">
        <v>6</v>
      </c>
      <c r="H198">
        <v>2</v>
      </c>
      <c r="I198">
        <v>1</v>
      </c>
    </row>
    <row r="199" spans="1:9">
      <c r="A199" t="s">
        <v>321</v>
      </c>
      <c r="B199" t="s">
        <v>956</v>
      </c>
      <c r="C199" t="s">
        <v>908</v>
      </c>
      <c r="D199">
        <v>4.4150943396226401</v>
      </c>
      <c r="E199">
        <v>53</v>
      </c>
      <c r="F199">
        <v>46</v>
      </c>
      <c r="G199">
        <v>5</v>
      </c>
      <c r="H199">
        <v>2</v>
      </c>
      <c r="I199">
        <v>1</v>
      </c>
    </row>
    <row r="200" spans="1:9">
      <c r="A200" t="s">
        <v>453</v>
      </c>
      <c r="B200" t="s">
        <v>1036</v>
      </c>
      <c r="C200" t="s">
        <v>908</v>
      </c>
      <c r="D200">
        <v>4.4418604651162701</v>
      </c>
      <c r="E200">
        <v>43</v>
      </c>
      <c r="F200">
        <v>37</v>
      </c>
      <c r="G200">
        <v>3</v>
      </c>
      <c r="H200">
        <v>3</v>
      </c>
      <c r="I200">
        <v>1</v>
      </c>
    </row>
    <row r="201" spans="1:9">
      <c r="A201" t="s">
        <v>109</v>
      </c>
      <c r="B201" t="s">
        <v>978</v>
      </c>
      <c r="C201" t="s">
        <v>908</v>
      </c>
      <c r="D201">
        <v>3.6380368098159499</v>
      </c>
      <c r="E201">
        <v>163</v>
      </c>
      <c r="F201">
        <v>105</v>
      </c>
      <c r="G201">
        <v>18</v>
      </c>
      <c r="H201">
        <v>40</v>
      </c>
      <c r="I201">
        <v>1</v>
      </c>
    </row>
    <row r="202" spans="1:9">
      <c r="A202" t="s">
        <v>256</v>
      </c>
      <c r="B202" t="s">
        <v>1037</v>
      </c>
      <c r="C202" t="s">
        <v>959</v>
      </c>
      <c r="D202">
        <v>4</v>
      </c>
      <c r="E202">
        <v>23</v>
      </c>
      <c r="F202">
        <v>18</v>
      </c>
      <c r="G202">
        <v>0</v>
      </c>
      <c r="H202">
        <v>5</v>
      </c>
      <c r="I202">
        <v>1</v>
      </c>
    </row>
    <row r="203" spans="1:9">
      <c r="A203" t="s">
        <v>658</v>
      </c>
      <c r="B203" t="s">
        <v>1038</v>
      </c>
      <c r="C203" t="s">
        <v>908</v>
      </c>
      <c r="D203">
        <v>4.0840336134453699</v>
      </c>
      <c r="E203">
        <v>238</v>
      </c>
      <c r="F203">
        <v>175</v>
      </c>
      <c r="G203">
        <v>37</v>
      </c>
      <c r="H203">
        <v>26</v>
      </c>
      <c r="I203">
        <v>1</v>
      </c>
    </row>
    <row r="204" spans="1:9">
      <c r="A204" s="2" t="s">
        <v>610</v>
      </c>
      <c r="B204" t="s">
        <v>1039</v>
      </c>
      <c r="C204" t="s">
        <v>1040</v>
      </c>
      <c r="D204">
        <v>4.6724137931034404</v>
      </c>
      <c r="E204">
        <v>58</v>
      </c>
      <c r="F204">
        <v>54</v>
      </c>
      <c r="G204">
        <v>3</v>
      </c>
      <c r="H204">
        <v>1</v>
      </c>
      <c r="I204">
        <v>1</v>
      </c>
    </row>
    <row r="205" spans="1:9">
      <c r="A205" t="s">
        <v>305</v>
      </c>
      <c r="B205" t="s">
        <v>1041</v>
      </c>
      <c r="C205" t="s">
        <v>908</v>
      </c>
      <c r="D205">
        <v>3.5666666666666602</v>
      </c>
      <c r="E205">
        <v>30</v>
      </c>
      <c r="F205">
        <v>18</v>
      </c>
      <c r="G205">
        <v>2</v>
      </c>
      <c r="H205">
        <v>10</v>
      </c>
      <c r="I205">
        <v>1</v>
      </c>
    </row>
    <row r="206" spans="1:9">
      <c r="A206" t="s">
        <v>160</v>
      </c>
      <c r="B206" t="s">
        <v>1042</v>
      </c>
      <c r="C206" t="s">
        <v>920</v>
      </c>
      <c r="D206">
        <v>4.76</v>
      </c>
      <c r="E206">
        <v>25</v>
      </c>
      <c r="F206">
        <v>24</v>
      </c>
      <c r="G206">
        <v>1</v>
      </c>
      <c r="H206">
        <v>0</v>
      </c>
      <c r="I206">
        <v>1</v>
      </c>
    </row>
    <row r="207" spans="1:9">
      <c r="A207" t="s">
        <v>724</v>
      </c>
      <c r="B207" t="s">
        <v>907</v>
      </c>
      <c r="C207" t="s">
        <v>908</v>
      </c>
      <c r="D207">
        <v>4.3014184397163104</v>
      </c>
      <c r="E207">
        <v>282</v>
      </c>
      <c r="F207">
        <v>239</v>
      </c>
      <c r="G207">
        <v>16</v>
      </c>
      <c r="H207">
        <v>27</v>
      </c>
      <c r="I207">
        <v>1</v>
      </c>
    </row>
    <row r="208" spans="1:9">
      <c r="A208" t="s">
        <v>688</v>
      </c>
      <c r="B208" t="s">
        <v>919</v>
      </c>
      <c r="C208" t="s">
        <v>920</v>
      </c>
      <c r="D208">
        <v>4.3913043478260798</v>
      </c>
      <c r="E208">
        <v>46</v>
      </c>
      <c r="F208">
        <v>42</v>
      </c>
      <c r="G208">
        <v>0</v>
      </c>
      <c r="H208">
        <v>4</v>
      </c>
      <c r="I208">
        <v>1</v>
      </c>
    </row>
    <row r="209" spans="1:9">
      <c r="A209" t="s">
        <v>707</v>
      </c>
      <c r="B209" t="s">
        <v>1037</v>
      </c>
      <c r="C209" t="s">
        <v>959</v>
      </c>
      <c r="D209">
        <v>4.2653061224489699</v>
      </c>
      <c r="E209">
        <v>49</v>
      </c>
      <c r="F209">
        <v>41</v>
      </c>
      <c r="G209">
        <v>2</v>
      </c>
      <c r="H209">
        <v>6</v>
      </c>
      <c r="I209">
        <v>1</v>
      </c>
    </row>
    <row r="210" spans="1:9">
      <c r="A210" s="2" t="s">
        <v>636</v>
      </c>
      <c r="B210" t="s">
        <v>953</v>
      </c>
      <c r="C210" t="s">
        <v>920</v>
      </c>
      <c r="D210">
        <v>3.9310344827586201</v>
      </c>
      <c r="E210">
        <v>29</v>
      </c>
      <c r="F210">
        <v>22</v>
      </c>
      <c r="G210">
        <v>1</v>
      </c>
      <c r="H210">
        <v>6</v>
      </c>
      <c r="I210">
        <v>1</v>
      </c>
    </row>
    <row r="211" spans="1:9">
      <c r="A211" t="s">
        <v>344</v>
      </c>
      <c r="B211" t="s">
        <v>911</v>
      </c>
      <c r="C211" t="s">
        <v>908</v>
      </c>
      <c r="D211">
        <v>3.9533762057877802</v>
      </c>
      <c r="E211">
        <v>622</v>
      </c>
      <c r="F211">
        <v>450</v>
      </c>
      <c r="G211">
        <v>69</v>
      </c>
      <c r="H211">
        <v>103</v>
      </c>
      <c r="I211">
        <v>1</v>
      </c>
    </row>
    <row r="212" spans="1:9">
      <c r="A212" t="s">
        <v>74</v>
      </c>
      <c r="B212" t="s">
        <v>907</v>
      </c>
      <c r="C212" t="s">
        <v>908</v>
      </c>
      <c r="D212">
        <v>3.8</v>
      </c>
      <c r="E212">
        <v>25</v>
      </c>
      <c r="F212">
        <v>18</v>
      </c>
      <c r="G212">
        <v>0</v>
      </c>
      <c r="H212">
        <v>7</v>
      </c>
      <c r="I212">
        <v>1</v>
      </c>
    </row>
    <row r="213" spans="1:9">
      <c r="A213" t="s">
        <v>796</v>
      </c>
      <c r="B213" t="s">
        <v>937</v>
      </c>
      <c r="C213" t="s">
        <v>908</v>
      </c>
      <c r="D213">
        <v>4.2083333333333304</v>
      </c>
      <c r="E213">
        <v>24</v>
      </c>
      <c r="F213">
        <v>19</v>
      </c>
      <c r="G213">
        <v>2</v>
      </c>
      <c r="H213">
        <v>3</v>
      </c>
      <c r="I213">
        <v>1</v>
      </c>
    </row>
    <row r="214" spans="1:9">
      <c r="A214" t="s">
        <v>512</v>
      </c>
      <c r="B214" t="s">
        <v>907</v>
      </c>
      <c r="C214" t="s">
        <v>908</v>
      </c>
      <c r="D214">
        <v>3.88888888888888</v>
      </c>
      <c r="E214">
        <v>36</v>
      </c>
      <c r="F214">
        <v>27</v>
      </c>
      <c r="G214">
        <v>2</v>
      </c>
      <c r="H214">
        <v>7</v>
      </c>
      <c r="I214">
        <v>1</v>
      </c>
    </row>
    <row r="215" spans="1:9">
      <c r="A215" t="s">
        <v>427</v>
      </c>
      <c r="B215" t="s">
        <v>932</v>
      </c>
      <c r="C215" t="s">
        <v>908</v>
      </c>
      <c r="D215">
        <v>4.06451612903225</v>
      </c>
      <c r="E215">
        <v>31</v>
      </c>
      <c r="F215">
        <v>24</v>
      </c>
      <c r="G215">
        <v>1</v>
      </c>
      <c r="H215">
        <v>6</v>
      </c>
      <c r="I215">
        <v>1</v>
      </c>
    </row>
    <row r="216" spans="1:9">
      <c r="A216" t="s">
        <v>594</v>
      </c>
      <c r="B216" t="s">
        <v>911</v>
      </c>
      <c r="C216" t="s">
        <v>908</v>
      </c>
      <c r="D216">
        <v>3.85365853658536</v>
      </c>
      <c r="E216">
        <v>123</v>
      </c>
      <c r="F216">
        <v>89</v>
      </c>
      <c r="G216">
        <v>11</v>
      </c>
      <c r="H216">
        <v>23</v>
      </c>
      <c r="I216">
        <v>1</v>
      </c>
    </row>
    <row r="217" spans="1:9">
      <c r="A217" t="s">
        <v>732</v>
      </c>
      <c r="B217" t="s">
        <v>911</v>
      </c>
      <c r="C217" t="s">
        <v>908</v>
      </c>
      <c r="D217">
        <v>3.88888888888888</v>
      </c>
      <c r="E217">
        <v>27</v>
      </c>
      <c r="F217">
        <v>18</v>
      </c>
      <c r="G217">
        <v>5</v>
      </c>
      <c r="H217">
        <v>4</v>
      </c>
      <c r="I217">
        <v>1</v>
      </c>
    </row>
    <row r="218" spans="1:9">
      <c r="A218" t="s">
        <v>149</v>
      </c>
      <c r="B218" t="s">
        <v>950</v>
      </c>
      <c r="C218" t="s">
        <v>920</v>
      </c>
      <c r="D218">
        <v>3.9811320754716899</v>
      </c>
      <c r="E218">
        <v>53</v>
      </c>
      <c r="F218">
        <v>40</v>
      </c>
      <c r="G218">
        <v>4</v>
      </c>
      <c r="H218">
        <v>9</v>
      </c>
      <c r="I218">
        <v>1</v>
      </c>
    </row>
    <row r="219" spans="1:9">
      <c r="A219" t="s">
        <v>245</v>
      </c>
      <c r="B219" t="s">
        <v>907</v>
      </c>
      <c r="C219" t="s">
        <v>908</v>
      </c>
      <c r="D219">
        <v>4.0166666666666604</v>
      </c>
      <c r="E219">
        <v>60</v>
      </c>
      <c r="F219">
        <v>44</v>
      </c>
      <c r="G219">
        <v>7</v>
      </c>
      <c r="H219">
        <v>9</v>
      </c>
      <c r="I219">
        <v>1</v>
      </c>
    </row>
    <row r="220" spans="1:9">
      <c r="A220" t="s">
        <v>89</v>
      </c>
      <c r="B220" t="s">
        <v>907</v>
      </c>
      <c r="C220" t="s">
        <v>908</v>
      </c>
      <c r="D220">
        <v>3.92</v>
      </c>
      <c r="E220">
        <v>100</v>
      </c>
      <c r="F220">
        <v>71</v>
      </c>
      <c r="G220">
        <v>9</v>
      </c>
      <c r="H220">
        <v>20</v>
      </c>
      <c r="I220">
        <v>1</v>
      </c>
    </row>
    <row r="221" spans="1:9">
      <c r="A221" t="s">
        <v>864</v>
      </c>
      <c r="B221" t="s">
        <v>1043</v>
      </c>
      <c r="C221" t="s">
        <v>959</v>
      </c>
      <c r="D221">
        <v>3.88095238095238</v>
      </c>
      <c r="E221">
        <v>42</v>
      </c>
      <c r="F221">
        <v>31</v>
      </c>
      <c r="G221">
        <v>3</v>
      </c>
      <c r="H221">
        <v>8</v>
      </c>
      <c r="I221">
        <v>1</v>
      </c>
    </row>
    <row r="222" spans="1:9">
      <c r="A222" t="s">
        <v>766</v>
      </c>
      <c r="B222" t="s">
        <v>1044</v>
      </c>
      <c r="C222" t="s">
        <v>1045</v>
      </c>
      <c r="D222">
        <v>3.9090909090908998</v>
      </c>
      <c r="E222">
        <v>33</v>
      </c>
      <c r="F222">
        <v>25</v>
      </c>
      <c r="G222">
        <v>2</v>
      </c>
      <c r="H222">
        <v>6</v>
      </c>
      <c r="I222">
        <v>1</v>
      </c>
    </row>
    <row r="223" spans="1:9">
      <c r="A223" t="s">
        <v>212</v>
      </c>
      <c r="B223" t="s">
        <v>1046</v>
      </c>
      <c r="C223" t="s">
        <v>920</v>
      </c>
      <c r="D223">
        <v>3.7428571428571402</v>
      </c>
      <c r="E223">
        <v>35</v>
      </c>
      <c r="F223">
        <v>24</v>
      </c>
      <c r="G223">
        <v>3</v>
      </c>
      <c r="H223">
        <v>8</v>
      </c>
      <c r="I223">
        <v>1</v>
      </c>
    </row>
    <row r="224" spans="1:9">
      <c r="A224" t="s">
        <v>602</v>
      </c>
      <c r="B224" t="s">
        <v>907</v>
      </c>
      <c r="C224" t="s">
        <v>908</v>
      </c>
      <c r="D224">
        <v>3.6894409937888102</v>
      </c>
      <c r="E224">
        <v>161</v>
      </c>
      <c r="F224">
        <v>102</v>
      </c>
      <c r="G224">
        <v>14</v>
      </c>
      <c r="H224">
        <v>45</v>
      </c>
      <c r="I224">
        <v>1</v>
      </c>
    </row>
    <row r="225" spans="1:9">
      <c r="A225" t="s">
        <v>452</v>
      </c>
      <c r="B225" t="s">
        <v>1037</v>
      </c>
      <c r="C225" t="s">
        <v>959</v>
      </c>
      <c r="D225">
        <v>4.1666666666666599</v>
      </c>
      <c r="E225">
        <v>24</v>
      </c>
      <c r="F225">
        <v>19</v>
      </c>
      <c r="G225">
        <v>0</v>
      </c>
      <c r="H225">
        <v>5</v>
      </c>
      <c r="I225">
        <v>1</v>
      </c>
    </row>
    <row r="226" spans="1:9">
      <c r="A226" t="s">
        <v>176</v>
      </c>
      <c r="B226" t="s">
        <v>1047</v>
      </c>
      <c r="C226" t="s">
        <v>908</v>
      </c>
      <c r="D226">
        <v>4.1144366197183002</v>
      </c>
      <c r="E226">
        <v>1136</v>
      </c>
      <c r="F226">
        <v>883</v>
      </c>
      <c r="G226">
        <v>110</v>
      </c>
      <c r="H226">
        <v>143</v>
      </c>
      <c r="I226">
        <v>1</v>
      </c>
    </row>
    <row r="227" spans="1:9">
      <c r="A227" t="s">
        <v>51</v>
      </c>
      <c r="B227" t="s">
        <v>907</v>
      </c>
      <c r="C227" t="s">
        <v>908</v>
      </c>
      <c r="D227">
        <v>4.0444444444444398</v>
      </c>
      <c r="E227">
        <v>45</v>
      </c>
      <c r="F227">
        <v>34</v>
      </c>
      <c r="G227">
        <v>3</v>
      </c>
      <c r="H227">
        <v>8</v>
      </c>
      <c r="I227">
        <v>1</v>
      </c>
    </row>
    <row r="228" spans="1:9">
      <c r="A228" t="s">
        <v>355</v>
      </c>
      <c r="B228" t="s">
        <v>1048</v>
      </c>
      <c r="C228" t="s">
        <v>913</v>
      </c>
      <c r="D228">
        <v>4.1717171717171704</v>
      </c>
      <c r="E228">
        <v>99</v>
      </c>
      <c r="F228">
        <v>80</v>
      </c>
      <c r="G228">
        <v>9</v>
      </c>
      <c r="H228">
        <v>10</v>
      </c>
      <c r="I228">
        <v>1</v>
      </c>
    </row>
    <row r="229" spans="1:9">
      <c r="A229" t="s">
        <v>798</v>
      </c>
      <c r="B229" t="s">
        <v>919</v>
      </c>
      <c r="C229" t="s">
        <v>920</v>
      </c>
      <c r="D229">
        <v>4.3499999999999996</v>
      </c>
      <c r="E229">
        <v>20</v>
      </c>
      <c r="F229">
        <v>17</v>
      </c>
      <c r="G229">
        <v>1</v>
      </c>
      <c r="H229">
        <v>2</v>
      </c>
      <c r="I229">
        <v>1</v>
      </c>
    </row>
    <row r="230" spans="1:9">
      <c r="A230" t="s">
        <v>347</v>
      </c>
      <c r="B230" t="s">
        <v>1049</v>
      </c>
      <c r="C230" t="s">
        <v>908</v>
      </c>
      <c r="D230">
        <v>3.95049504950495</v>
      </c>
      <c r="E230">
        <v>101</v>
      </c>
      <c r="F230">
        <v>76</v>
      </c>
      <c r="G230">
        <v>8</v>
      </c>
      <c r="H230">
        <v>17</v>
      </c>
      <c r="I230">
        <v>1</v>
      </c>
    </row>
    <row r="231" spans="1:9">
      <c r="A231" t="s">
        <v>81</v>
      </c>
      <c r="B231" t="s">
        <v>907</v>
      </c>
      <c r="C231" t="s">
        <v>908</v>
      </c>
      <c r="D231">
        <v>4.3250000000000002</v>
      </c>
      <c r="E231">
        <v>40</v>
      </c>
      <c r="F231">
        <v>34</v>
      </c>
      <c r="G231">
        <v>3</v>
      </c>
      <c r="H231">
        <v>3</v>
      </c>
      <c r="I231">
        <v>1</v>
      </c>
    </row>
    <row r="232" spans="1:9">
      <c r="A232" t="s">
        <v>153</v>
      </c>
      <c r="B232" t="s">
        <v>1050</v>
      </c>
      <c r="C232" t="s">
        <v>908</v>
      </c>
      <c r="D232">
        <v>4.2093023255813904</v>
      </c>
      <c r="E232">
        <v>43</v>
      </c>
      <c r="F232">
        <v>34</v>
      </c>
      <c r="G232">
        <v>5</v>
      </c>
      <c r="H232">
        <v>4</v>
      </c>
      <c r="I232">
        <v>1</v>
      </c>
    </row>
    <row r="233" spans="1:9">
      <c r="A233" t="s">
        <v>18</v>
      </c>
      <c r="B233" t="s">
        <v>1036</v>
      </c>
      <c r="C233" t="s">
        <v>908</v>
      </c>
      <c r="D233">
        <v>3.8157894736842102</v>
      </c>
      <c r="E233">
        <v>38</v>
      </c>
      <c r="F233">
        <v>26</v>
      </c>
      <c r="G233">
        <v>4</v>
      </c>
      <c r="H233">
        <v>8</v>
      </c>
      <c r="I233">
        <v>1</v>
      </c>
    </row>
    <row r="234" spans="1:9">
      <c r="A234" t="s">
        <v>34</v>
      </c>
      <c r="B234" t="s">
        <v>1051</v>
      </c>
      <c r="C234" t="s">
        <v>908</v>
      </c>
      <c r="D234">
        <v>4.3260869565217304</v>
      </c>
      <c r="E234">
        <v>46</v>
      </c>
      <c r="F234">
        <v>37</v>
      </c>
      <c r="G234">
        <v>5</v>
      </c>
      <c r="H234">
        <v>4</v>
      </c>
      <c r="I234">
        <v>1</v>
      </c>
    </row>
    <row r="235" spans="1:9">
      <c r="A235" t="s">
        <v>487</v>
      </c>
      <c r="B235" t="s">
        <v>916</v>
      </c>
      <c r="C235" t="s">
        <v>908</v>
      </c>
      <c r="D235">
        <v>3.9032258064516099</v>
      </c>
      <c r="E235">
        <v>31</v>
      </c>
      <c r="F235">
        <v>23</v>
      </c>
      <c r="G235">
        <v>1</v>
      </c>
      <c r="H235">
        <v>7</v>
      </c>
      <c r="I235">
        <v>1</v>
      </c>
    </row>
    <row r="236" spans="1:9">
      <c r="A236" t="s">
        <v>372</v>
      </c>
      <c r="B236" t="s">
        <v>967</v>
      </c>
      <c r="C236" t="s">
        <v>908</v>
      </c>
      <c r="D236">
        <v>4.2592592592592498</v>
      </c>
      <c r="E236">
        <v>27</v>
      </c>
      <c r="F236">
        <v>24</v>
      </c>
      <c r="G236">
        <v>0</v>
      </c>
      <c r="H236">
        <v>3</v>
      </c>
      <c r="I236">
        <v>1</v>
      </c>
    </row>
    <row r="237" spans="1:9">
      <c r="A237" t="s">
        <v>576</v>
      </c>
      <c r="B237" t="s">
        <v>914</v>
      </c>
      <c r="C237" t="s">
        <v>908</v>
      </c>
      <c r="D237">
        <v>4.2727272727272698</v>
      </c>
      <c r="E237">
        <v>22</v>
      </c>
      <c r="F237">
        <v>19</v>
      </c>
      <c r="G237">
        <v>1</v>
      </c>
      <c r="H237">
        <v>2</v>
      </c>
      <c r="I237">
        <v>1</v>
      </c>
    </row>
    <row r="238" spans="1:9">
      <c r="A238" t="s">
        <v>198</v>
      </c>
      <c r="B238" t="s">
        <v>916</v>
      </c>
      <c r="C238" t="s">
        <v>908</v>
      </c>
      <c r="D238">
        <v>4.1260504201680597</v>
      </c>
      <c r="E238">
        <v>238</v>
      </c>
      <c r="F238">
        <v>185</v>
      </c>
      <c r="G238">
        <v>17</v>
      </c>
      <c r="H238">
        <v>36</v>
      </c>
      <c r="I238">
        <v>1</v>
      </c>
    </row>
    <row r="239" spans="1:9">
      <c r="A239" t="s">
        <v>620</v>
      </c>
      <c r="B239" t="s">
        <v>917</v>
      </c>
      <c r="C239" t="s">
        <v>918</v>
      </c>
      <c r="D239">
        <v>4.9565217391304301</v>
      </c>
      <c r="E239">
        <v>23</v>
      </c>
      <c r="F239">
        <v>23</v>
      </c>
      <c r="G239">
        <v>0</v>
      </c>
      <c r="H239">
        <v>0</v>
      </c>
      <c r="I239">
        <v>1</v>
      </c>
    </row>
    <row r="240" spans="1:9">
      <c r="A240" t="s">
        <v>547</v>
      </c>
      <c r="B240" t="s">
        <v>1052</v>
      </c>
      <c r="C240" t="s">
        <v>948</v>
      </c>
      <c r="D240">
        <v>4.71428571428571</v>
      </c>
      <c r="E240">
        <v>21</v>
      </c>
      <c r="F240">
        <v>20</v>
      </c>
      <c r="G240">
        <v>1</v>
      </c>
      <c r="H240">
        <v>0</v>
      </c>
      <c r="I240">
        <v>1</v>
      </c>
    </row>
    <row r="241" spans="1:9">
      <c r="A241" t="s">
        <v>237</v>
      </c>
      <c r="B241" t="s">
        <v>970</v>
      </c>
      <c r="C241" t="s">
        <v>908</v>
      </c>
      <c r="D241">
        <v>4.2432432432432403</v>
      </c>
      <c r="E241">
        <v>37</v>
      </c>
      <c r="F241">
        <v>29</v>
      </c>
      <c r="G241">
        <v>2</v>
      </c>
      <c r="H241">
        <v>6</v>
      </c>
      <c r="I241">
        <v>1</v>
      </c>
    </row>
    <row r="242" spans="1:9">
      <c r="A242" t="s">
        <v>404</v>
      </c>
      <c r="B242" t="s">
        <v>907</v>
      </c>
      <c r="C242" t="s">
        <v>908</v>
      </c>
      <c r="D242">
        <v>4.3538461538461499</v>
      </c>
      <c r="E242">
        <v>130</v>
      </c>
      <c r="F242">
        <v>110</v>
      </c>
      <c r="G242">
        <v>8</v>
      </c>
      <c r="H242">
        <v>12</v>
      </c>
      <c r="I242">
        <v>1</v>
      </c>
    </row>
    <row r="243" spans="1:9">
      <c r="A243" t="s">
        <v>421</v>
      </c>
      <c r="B243" t="s">
        <v>1053</v>
      </c>
      <c r="C243" t="s">
        <v>1045</v>
      </c>
      <c r="D243">
        <v>4.2</v>
      </c>
      <c r="E243">
        <v>40</v>
      </c>
      <c r="F243">
        <v>32</v>
      </c>
      <c r="G243">
        <v>4</v>
      </c>
      <c r="H243">
        <v>4</v>
      </c>
      <c r="I243">
        <v>1</v>
      </c>
    </row>
    <row r="244" spans="1:9">
      <c r="A244" t="s">
        <v>695</v>
      </c>
      <c r="B244" t="s">
        <v>916</v>
      </c>
      <c r="C244" t="s">
        <v>908</v>
      </c>
      <c r="D244">
        <v>4.6521739130434696</v>
      </c>
      <c r="E244">
        <v>23</v>
      </c>
      <c r="F244">
        <v>21</v>
      </c>
      <c r="G244">
        <v>1</v>
      </c>
      <c r="H244">
        <v>1</v>
      </c>
      <c r="I244">
        <v>1</v>
      </c>
    </row>
    <row r="245" spans="1:9">
      <c r="A245" t="s">
        <v>201</v>
      </c>
      <c r="B245" t="s">
        <v>1054</v>
      </c>
      <c r="C245" t="s">
        <v>925</v>
      </c>
      <c r="D245">
        <v>4.8095238095238004</v>
      </c>
      <c r="E245">
        <v>21</v>
      </c>
      <c r="F245">
        <v>21</v>
      </c>
      <c r="G245">
        <v>0</v>
      </c>
      <c r="H245">
        <v>0</v>
      </c>
      <c r="I245">
        <v>1</v>
      </c>
    </row>
    <row r="246" spans="1:9">
      <c r="A246" t="s">
        <v>761</v>
      </c>
      <c r="B246" t="s">
        <v>907</v>
      </c>
      <c r="C246" t="s">
        <v>908</v>
      </c>
      <c r="D246">
        <v>4</v>
      </c>
      <c r="E246">
        <v>20</v>
      </c>
      <c r="F246">
        <v>15</v>
      </c>
      <c r="G246">
        <v>1</v>
      </c>
      <c r="H246">
        <v>4</v>
      </c>
      <c r="I246">
        <v>1</v>
      </c>
    </row>
    <row r="247" spans="1:9">
      <c r="A247" t="s">
        <v>141</v>
      </c>
      <c r="B247" t="s">
        <v>923</v>
      </c>
      <c r="C247" t="s">
        <v>913</v>
      </c>
      <c r="D247">
        <v>3.9047619047619002</v>
      </c>
      <c r="E247">
        <v>21</v>
      </c>
      <c r="F247">
        <v>13</v>
      </c>
      <c r="G247">
        <v>4</v>
      </c>
      <c r="H247">
        <v>4</v>
      </c>
      <c r="I247">
        <v>1</v>
      </c>
    </row>
    <row r="248" spans="1:9">
      <c r="A248" t="s">
        <v>839</v>
      </c>
      <c r="B248" t="s">
        <v>941</v>
      </c>
      <c r="C248" t="s">
        <v>908</v>
      </c>
      <c r="D248">
        <v>3.7839999999999998</v>
      </c>
      <c r="E248">
        <v>125</v>
      </c>
      <c r="F248">
        <v>87</v>
      </c>
      <c r="G248">
        <v>7</v>
      </c>
      <c r="H248">
        <v>31</v>
      </c>
      <c r="I248">
        <v>1</v>
      </c>
    </row>
    <row r="249" spans="1:9">
      <c r="A249" t="s">
        <v>137</v>
      </c>
      <c r="B249" t="s">
        <v>1053</v>
      </c>
      <c r="C249" t="s">
        <v>1045</v>
      </c>
      <c r="D249">
        <v>4.1754385964912197</v>
      </c>
      <c r="E249">
        <v>57</v>
      </c>
      <c r="F249">
        <v>47</v>
      </c>
      <c r="G249">
        <v>2</v>
      </c>
      <c r="H249">
        <v>8</v>
      </c>
      <c r="I249">
        <v>1</v>
      </c>
    </row>
    <row r="250" spans="1:9">
      <c r="A250" t="s">
        <v>759</v>
      </c>
      <c r="B250" t="s">
        <v>907</v>
      </c>
      <c r="C250" t="s">
        <v>908</v>
      </c>
      <c r="D250">
        <v>4.4054054054053999</v>
      </c>
      <c r="E250">
        <v>111</v>
      </c>
      <c r="F250">
        <v>94</v>
      </c>
      <c r="G250">
        <v>7</v>
      </c>
      <c r="H250">
        <v>10</v>
      </c>
      <c r="I250">
        <v>1</v>
      </c>
    </row>
    <row r="251" spans="1:9">
      <c r="A251" t="s">
        <v>358</v>
      </c>
      <c r="B251" t="s">
        <v>1055</v>
      </c>
      <c r="C251" t="s">
        <v>908</v>
      </c>
      <c r="D251">
        <v>4.5609756097560901</v>
      </c>
      <c r="E251">
        <v>41</v>
      </c>
      <c r="F251">
        <v>35</v>
      </c>
      <c r="G251">
        <v>5</v>
      </c>
      <c r="H251">
        <v>1</v>
      </c>
      <c r="I251">
        <v>1</v>
      </c>
    </row>
    <row r="252" spans="1:9">
      <c r="A252" t="s">
        <v>125</v>
      </c>
      <c r="B252" t="s">
        <v>1053</v>
      </c>
      <c r="C252" t="s">
        <v>1045</v>
      </c>
      <c r="D252">
        <v>3.7565789473684199</v>
      </c>
      <c r="E252">
        <v>152</v>
      </c>
      <c r="F252">
        <v>99</v>
      </c>
      <c r="G252">
        <v>22</v>
      </c>
      <c r="H252">
        <v>31</v>
      </c>
      <c r="I252">
        <v>1</v>
      </c>
    </row>
    <row r="253" spans="1:9">
      <c r="A253" t="s">
        <v>868</v>
      </c>
      <c r="B253" t="s">
        <v>1056</v>
      </c>
      <c r="C253" t="s">
        <v>908</v>
      </c>
      <c r="D253">
        <v>3.8510638297872299</v>
      </c>
      <c r="E253">
        <v>94</v>
      </c>
      <c r="F253">
        <v>64</v>
      </c>
      <c r="G253">
        <v>15</v>
      </c>
      <c r="H253">
        <v>15</v>
      </c>
      <c r="I253">
        <v>1</v>
      </c>
    </row>
    <row r="254" spans="1:9">
      <c r="A254" t="s">
        <v>179</v>
      </c>
      <c r="B254" t="s">
        <v>983</v>
      </c>
      <c r="C254" t="s">
        <v>908</v>
      </c>
      <c r="D254">
        <v>4.0681818181818103</v>
      </c>
      <c r="E254">
        <v>44</v>
      </c>
      <c r="F254">
        <v>36</v>
      </c>
      <c r="G254">
        <v>1</v>
      </c>
      <c r="H254">
        <v>7</v>
      </c>
      <c r="I254">
        <v>1</v>
      </c>
    </row>
    <row r="255" spans="1:9">
      <c r="A255" t="s">
        <v>96</v>
      </c>
      <c r="B255" t="s">
        <v>975</v>
      </c>
      <c r="C255" t="s">
        <v>908</v>
      </c>
      <c r="D255">
        <v>3.82926829268292</v>
      </c>
      <c r="E255">
        <v>41</v>
      </c>
      <c r="F255">
        <v>31</v>
      </c>
      <c r="G255">
        <v>1</v>
      </c>
      <c r="H255">
        <v>9</v>
      </c>
      <c r="I255">
        <v>1</v>
      </c>
    </row>
    <row r="256" spans="1:9">
      <c r="A256" t="s">
        <v>162</v>
      </c>
      <c r="B256" t="s">
        <v>1041</v>
      </c>
      <c r="C256" t="s">
        <v>908</v>
      </c>
      <c r="D256">
        <v>4.0491803278688501</v>
      </c>
      <c r="E256">
        <v>61</v>
      </c>
      <c r="F256">
        <v>43</v>
      </c>
      <c r="G256">
        <v>10</v>
      </c>
      <c r="H256">
        <v>8</v>
      </c>
      <c r="I256">
        <v>1</v>
      </c>
    </row>
    <row r="257" spans="1:9">
      <c r="A257" t="s">
        <v>430</v>
      </c>
      <c r="B257" t="s">
        <v>1037</v>
      </c>
      <c r="C257" t="s">
        <v>959</v>
      </c>
      <c r="D257">
        <v>4.1813084112149497</v>
      </c>
      <c r="E257">
        <v>535</v>
      </c>
      <c r="F257">
        <v>431</v>
      </c>
      <c r="G257">
        <v>32</v>
      </c>
      <c r="H257">
        <v>72</v>
      </c>
      <c r="I257">
        <v>1</v>
      </c>
    </row>
    <row r="258" spans="1:9">
      <c r="A258" t="s">
        <v>152</v>
      </c>
      <c r="B258" t="s">
        <v>1057</v>
      </c>
      <c r="C258" t="s">
        <v>908</v>
      </c>
      <c r="D258">
        <v>4.1904761904761898</v>
      </c>
      <c r="E258">
        <v>21</v>
      </c>
      <c r="F258">
        <v>16</v>
      </c>
      <c r="G258">
        <v>3</v>
      </c>
      <c r="H258">
        <v>2</v>
      </c>
      <c r="I258">
        <v>1</v>
      </c>
    </row>
    <row r="259" spans="1:9">
      <c r="A259" t="s">
        <v>333</v>
      </c>
      <c r="B259" t="s">
        <v>1057</v>
      </c>
      <c r="C259" t="s">
        <v>908</v>
      </c>
      <c r="D259">
        <v>3.7582417582417502</v>
      </c>
      <c r="E259">
        <v>91</v>
      </c>
      <c r="F259">
        <v>64</v>
      </c>
      <c r="G259">
        <v>6</v>
      </c>
      <c r="H259">
        <v>21</v>
      </c>
      <c r="I259">
        <v>1</v>
      </c>
    </row>
    <row r="260" spans="1:9">
      <c r="A260" s="2" t="s">
        <v>551</v>
      </c>
      <c r="B260" t="s">
        <v>907</v>
      </c>
      <c r="C260" t="s">
        <v>908</v>
      </c>
      <c r="D260">
        <v>4.1045454545454501</v>
      </c>
      <c r="E260">
        <v>220</v>
      </c>
      <c r="F260">
        <v>173</v>
      </c>
      <c r="G260">
        <v>17</v>
      </c>
      <c r="H260">
        <v>30</v>
      </c>
      <c r="I260">
        <v>1</v>
      </c>
    </row>
    <row r="261" spans="1:9">
      <c r="A261" t="s">
        <v>627</v>
      </c>
      <c r="B261" t="s">
        <v>1058</v>
      </c>
      <c r="C261" t="s">
        <v>908</v>
      </c>
      <c r="D261">
        <v>4.0463576158940304</v>
      </c>
      <c r="E261">
        <v>151</v>
      </c>
      <c r="F261">
        <v>114</v>
      </c>
      <c r="G261">
        <v>15</v>
      </c>
      <c r="H261">
        <v>22</v>
      </c>
      <c r="I261">
        <v>1</v>
      </c>
    </row>
    <row r="262" spans="1:9">
      <c r="A262" t="s">
        <v>155</v>
      </c>
      <c r="B262" t="s">
        <v>1059</v>
      </c>
      <c r="C262" t="s">
        <v>908</v>
      </c>
      <c r="D262">
        <v>4.1228222996515598</v>
      </c>
      <c r="E262">
        <v>1148</v>
      </c>
      <c r="F262">
        <v>891</v>
      </c>
      <c r="G262">
        <v>98</v>
      </c>
      <c r="H262">
        <v>159</v>
      </c>
      <c r="I262">
        <v>1</v>
      </c>
    </row>
    <row r="263" spans="1:9">
      <c r="A263" t="s">
        <v>582</v>
      </c>
      <c r="B263" t="s">
        <v>919</v>
      </c>
      <c r="C263" t="s">
        <v>920</v>
      </c>
      <c r="D263">
        <v>5</v>
      </c>
      <c r="E263">
        <v>34</v>
      </c>
      <c r="F263">
        <v>34</v>
      </c>
      <c r="G263">
        <v>0</v>
      </c>
      <c r="H263">
        <v>0</v>
      </c>
      <c r="I263">
        <v>1</v>
      </c>
    </row>
    <row r="264" spans="1:9">
      <c r="A264" t="s">
        <v>592</v>
      </c>
      <c r="B264" t="s">
        <v>1060</v>
      </c>
      <c r="C264" t="s">
        <v>913</v>
      </c>
      <c r="D264">
        <v>3.3684210526315699</v>
      </c>
      <c r="E264">
        <v>38</v>
      </c>
      <c r="F264">
        <v>23</v>
      </c>
      <c r="G264">
        <v>2</v>
      </c>
      <c r="H264">
        <v>13</v>
      </c>
      <c r="I264">
        <v>1</v>
      </c>
    </row>
    <row r="265" spans="1:9">
      <c r="A265" t="s">
        <v>819</v>
      </c>
      <c r="B265" t="s">
        <v>1061</v>
      </c>
      <c r="C265" t="s">
        <v>930</v>
      </c>
      <c r="D265">
        <v>4.15625</v>
      </c>
      <c r="E265">
        <v>32</v>
      </c>
      <c r="F265">
        <v>26</v>
      </c>
      <c r="G265">
        <v>2</v>
      </c>
      <c r="H265">
        <v>4</v>
      </c>
      <c r="I265">
        <v>1</v>
      </c>
    </row>
    <row r="266" spans="1:9">
      <c r="A266" t="s">
        <v>359</v>
      </c>
      <c r="B266" t="s">
        <v>907</v>
      </c>
      <c r="C266" t="s">
        <v>908</v>
      </c>
      <c r="D266">
        <v>3.8378378378378302</v>
      </c>
      <c r="E266">
        <v>74</v>
      </c>
      <c r="F266">
        <v>48</v>
      </c>
      <c r="G266">
        <v>13</v>
      </c>
      <c r="H266">
        <v>13</v>
      </c>
      <c r="I266">
        <v>1</v>
      </c>
    </row>
    <row r="267" spans="1:9">
      <c r="A267" t="s">
        <v>790</v>
      </c>
      <c r="B267" t="s">
        <v>1062</v>
      </c>
      <c r="C267" t="s">
        <v>908</v>
      </c>
      <c r="D267">
        <v>4.3913043478260798</v>
      </c>
      <c r="E267">
        <v>23</v>
      </c>
      <c r="F267">
        <v>19</v>
      </c>
      <c r="G267">
        <v>1</v>
      </c>
      <c r="H267">
        <v>3</v>
      </c>
      <c r="I267">
        <v>1</v>
      </c>
    </row>
    <row r="268" spans="1:9">
      <c r="A268" t="s">
        <v>26</v>
      </c>
      <c r="B268" t="s">
        <v>911</v>
      </c>
      <c r="C268" t="s">
        <v>908</v>
      </c>
      <c r="D268">
        <v>3.8039314516128999</v>
      </c>
      <c r="E268">
        <v>1984</v>
      </c>
      <c r="F268">
        <v>1334</v>
      </c>
      <c r="G268">
        <v>258</v>
      </c>
      <c r="H268">
        <v>392</v>
      </c>
      <c r="I268">
        <v>1</v>
      </c>
    </row>
    <row r="269" spans="1:9">
      <c r="A269" t="s">
        <v>533</v>
      </c>
      <c r="B269" t="s">
        <v>969</v>
      </c>
      <c r="C269" t="s">
        <v>908</v>
      </c>
      <c r="D269">
        <v>3.7341772151898698</v>
      </c>
      <c r="E269">
        <v>79</v>
      </c>
      <c r="F269">
        <v>51</v>
      </c>
      <c r="G269">
        <v>9</v>
      </c>
      <c r="H269">
        <v>19</v>
      </c>
      <c r="I269">
        <v>1</v>
      </c>
    </row>
    <row r="270" spans="1:9">
      <c r="A270" t="s">
        <v>698</v>
      </c>
      <c r="B270" t="s">
        <v>1063</v>
      </c>
      <c r="C270" t="s">
        <v>1064</v>
      </c>
      <c r="D270">
        <v>3.9</v>
      </c>
      <c r="E270">
        <v>30</v>
      </c>
      <c r="F270">
        <v>22</v>
      </c>
      <c r="G270">
        <v>2</v>
      </c>
      <c r="H270">
        <v>6</v>
      </c>
      <c r="I270">
        <v>1</v>
      </c>
    </row>
    <row r="271" spans="1:9">
      <c r="A271" t="s">
        <v>519</v>
      </c>
      <c r="B271" t="s">
        <v>911</v>
      </c>
      <c r="C271" t="s">
        <v>908</v>
      </c>
      <c r="D271">
        <v>3.95</v>
      </c>
      <c r="E271">
        <v>20</v>
      </c>
      <c r="F271">
        <v>14</v>
      </c>
      <c r="G271">
        <v>2</v>
      </c>
      <c r="H271">
        <v>4</v>
      </c>
      <c r="I271">
        <v>1</v>
      </c>
    </row>
    <row r="272" spans="1:9">
      <c r="A272" t="s">
        <v>873</v>
      </c>
      <c r="B272" t="s">
        <v>1065</v>
      </c>
      <c r="C272" t="s">
        <v>920</v>
      </c>
      <c r="D272">
        <v>4.0810810810810798</v>
      </c>
      <c r="E272">
        <v>37</v>
      </c>
      <c r="F272">
        <v>30</v>
      </c>
      <c r="G272">
        <v>2</v>
      </c>
      <c r="H272">
        <v>5</v>
      </c>
      <c r="I272">
        <v>1</v>
      </c>
    </row>
    <row r="273" spans="1:9">
      <c r="A273" t="s">
        <v>555</v>
      </c>
      <c r="B273" t="s">
        <v>1001</v>
      </c>
      <c r="C273" t="s">
        <v>908</v>
      </c>
      <c r="D273">
        <v>4.35135135135135</v>
      </c>
      <c r="E273">
        <v>222</v>
      </c>
      <c r="F273">
        <v>186</v>
      </c>
      <c r="G273">
        <v>20</v>
      </c>
      <c r="H273">
        <v>16</v>
      </c>
      <c r="I273">
        <v>1</v>
      </c>
    </row>
    <row r="274" spans="1:9">
      <c r="A274" t="s">
        <v>853</v>
      </c>
      <c r="B274" t="s">
        <v>988</v>
      </c>
      <c r="C274" t="s">
        <v>908</v>
      </c>
      <c r="D274">
        <v>4.1666666666666599</v>
      </c>
      <c r="E274">
        <v>30</v>
      </c>
      <c r="F274">
        <v>24</v>
      </c>
      <c r="G274">
        <v>3</v>
      </c>
      <c r="H274">
        <v>3</v>
      </c>
      <c r="I274">
        <v>1</v>
      </c>
    </row>
    <row r="275" spans="1:9">
      <c r="A275" t="s">
        <v>388</v>
      </c>
      <c r="B275" t="s">
        <v>907</v>
      </c>
      <c r="C275" t="s">
        <v>908</v>
      </c>
      <c r="D275">
        <v>4.2249999999999996</v>
      </c>
      <c r="E275">
        <v>40</v>
      </c>
      <c r="F275">
        <v>29</v>
      </c>
      <c r="G275">
        <v>4</v>
      </c>
      <c r="H275">
        <v>7</v>
      </c>
      <c r="I275">
        <v>1</v>
      </c>
    </row>
    <row r="276" spans="1:9">
      <c r="A276" t="s">
        <v>616</v>
      </c>
      <c r="B276" t="s">
        <v>1047</v>
      </c>
      <c r="C276" t="s">
        <v>908</v>
      </c>
      <c r="D276">
        <v>4.1063829787234001</v>
      </c>
      <c r="E276">
        <v>47</v>
      </c>
      <c r="F276">
        <v>37</v>
      </c>
      <c r="G276">
        <v>3</v>
      </c>
      <c r="H276">
        <v>7</v>
      </c>
      <c r="I276">
        <v>1</v>
      </c>
    </row>
    <row r="277" spans="1:9">
      <c r="A277" t="s">
        <v>523</v>
      </c>
      <c r="B277" t="s">
        <v>907</v>
      </c>
      <c r="C277" t="s">
        <v>908</v>
      </c>
      <c r="D277">
        <v>3.8358208955223798</v>
      </c>
      <c r="E277">
        <v>67</v>
      </c>
      <c r="F277">
        <v>47</v>
      </c>
      <c r="G277">
        <v>8</v>
      </c>
      <c r="H277">
        <v>12</v>
      </c>
      <c r="I277">
        <v>1</v>
      </c>
    </row>
    <row r="278" spans="1:9">
      <c r="A278" t="s">
        <v>185</v>
      </c>
      <c r="B278" t="s">
        <v>907</v>
      </c>
      <c r="C278" t="s">
        <v>908</v>
      </c>
      <c r="D278">
        <v>3.7609329446064099</v>
      </c>
      <c r="E278">
        <v>343</v>
      </c>
      <c r="F278">
        <v>240</v>
      </c>
      <c r="G278">
        <v>18</v>
      </c>
      <c r="H278">
        <v>85</v>
      </c>
      <c r="I278">
        <v>1</v>
      </c>
    </row>
    <row r="279" spans="1:9">
      <c r="A279" t="s">
        <v>549</v>
      </c>
      <c r="B279" t="s">
        <v>1055</v>
      </c>
      <c r="C279" t="s">
        <v>908</v>
      </c>
      <c r="D279">
        <v>4.2916666666666599</v>
      </c>
      <c r="E279">
        <v>48</v>
      </c>
      <c r="F279">
        <v>39</v>
      </c>
      <c r="G279">
        <v>5</v>
      </c>
      <c r="H279">
        <v>4</v>
      </c>
      <c r="I279">
        <v>1</v>
      </c>
    </row>
    <row r="280" spans="1:9">
      <c r="A280" t="s">
        <v>434</v>
      </c>
      <c r="B280" t="s">
        <v>911</v>
      </c>
      <c r="C280" t="s">
        <v>908</v>
      </c>
      <c r="D280">
        <v>3.1111111111111098</v>
      </c>
      <c r="E280">
        <v>27</v>
      </c>
      <c r="F280">
        <v>13</v>
      </c>
      <c r="G280">
        <v>3</v>
      </c>
      <c r="H280">
        <v>11</v>
      </c>
      <c r="I280">
        <v>1</v>
      </c>
    </row>
    <row r="281" spans="1:9">
      <c r="A281" t="s">
        <v>456</v>
      </c>
      <c r="B281" t="s">
        <v>1066</v>
      </c>
      <c r="C281" t="s">
        <v>908</v>
      </c>
      <c r="D281">
        <v>4.1767676767676702</v>
      </c>
      <c r="E281">
        <v>396</v>
      </c>
      <c r="F281">
        <v>321</v>
      </c>
      <c r="G281">
        <v>24</v>
      </c>
      <c r="H281">
        <v>51</v>
      </c>
      <c r="I281">
        <v>1</v>
      </c>
    </row>
    <row r="282" spans="1:9">
      <c r="A282" s="2" t="s">
        <v>586</v>
      </c>
      <c r="B282" t="s">
        <v>1067</v>
      </c>
      <c r="C282" t="s">
        <v>920</v>
      </c>
      <c r="D282">
        <v>4.5</v>
      </c>
      <c r="E282">
        <v>60</v>
      </c>
      <c r="F282">
        <v>55</v>
      </c>
      <c r="G282">
        <v>1</v>
      </c>
      <c r="H282">
        <v>4</v>
      </c>
      <c r="I282">
        <v>1</v>
      </c>
    </row>
    <row r="283" spans="1:9">
      <c r="A283" s="2" t="s">
        <v>740</v>
      </c>
      <c r="B283" t="s">
        <v>979</v>
      </c>
      <c r="C283" t="s">
        <v>913</v>
      </c>
      <c r="D283">
        <v>4.1739130434782599</v>
      </c>
      <c r="E283">
        <v>46</v>
      </c>
      <c r="F283">
        <v>35</v>
      </c>
      <c r="G283">
        <v>2</v>
      </c>
      <c r="H283">
        <v>9</v>
      </c>
      <c r="I283">
        <v>1</v>
      </c>
    </row>
    <row r="284" spans="1:9">
      <c r="A284" t="s">
        <v>774</v>
      </c>
      <c r="B284" t="s">
        <v>1068</v>
      </c>
      <c r="C284" t="s">
        <v>908</v>
      </c>
      <c r="D284">
        <v>4.0810810810810798</v>
      </c>
      <c r="E284">
        <v>74</v>
      </c>
      <c r="F284">
        <v>55</v>
      </c>
      <c r="G284">
        <v>4</v>
      </c>
      <c r="H284">
        <v>15</v>
      </c>
      <c r="I284">
        <v>1</v>
      </c>
    </row>
    <row r="285" spans="1:9">
      <c r="A285" s="2" t="s">
        <v>117</v>
      </c>
      <c r="B285" t="s">
        <v>941</v>
      </c>
      <c r="C285" t="s">
        <v>908</v>
      </c>
      <c r="D285">
        <v>3.44</v>
      </c>
      <c r="E285">
        <v>25</v>
      </c>
      <c r="F285">
        <v>15</v>
      </c>
      <c r="G285">
        <v>1</v>
      </c>
      <c r="H285">
        <v>9</v>
      </c>
      <c r="I285">
        <v>1</v>
      </c>
    </row>
    <row r="286" spans="1:9">
      <c r="A286" t="s">
        <v>437</v>
      </c>
      <c r="B286" t="s">
        <v>1069</v>
      </c>
      <c r="C286" t="s">
        <v>908</v>
      </c>
      <c r="D286">
        <v>4.1444444444444404</v>
      </c>
      <c r="E286">
        <v>90</v>
      </c>
      <c r="F286">
        <v>70</v>
      </c>
      <c r="G286">
        <v>3</v>
      </c>
      <c r="H286">
        <v>17</v>
      </c>
      <c r="I286">
        <v>1</v>
      </c>
    </row>
    <row r="287" spans="1:9">
      <c r="A287" s="2" t="s">
        <v>353</v>
      </c>
      <c r="B287" t="s">
        <v>1070</v>
      </c>
      <c r="C287" t="s">
        <v>908</v>
      </c>
      <c r="D287">
        <v>3.89532293986636</v>
      </c>
      <c r="E287">
        <v>449</v>
      </c>
      <c r="F287">
        <v>327</v>
      </c>
      <c r="G287">
        <v>31</v>
      </c>
      <c r="H287">
        <v>91</v>
      </c>
      <c r="I287">
        <v>1</v>
      </c>
    </row>
    <row r="288" spans="1:9">
      <c r="A288" s="2" t="s">
        <v>557</v>
      </c>
      <c r="B288" t="s">
        <v>907</v>
      </c>
      <c r="C288" t="s">
        <v>908</v>
      </c>
      <c r="D288">
        <v>3.7878787878787801</v>
      </c>
      <c r="E288">
        <v>33</v>
      </c>
      <c r="F288">
        <v>24</v>
      </c>
      <c r="G288">
        <v>2</v>
      </c>
      <c r="H288">
        <v>7</v>
      </c>
      <c r="I288">
        <v>1</v>
      </c>
    </row>
    <row r="289" spans="1:9">
      <c r="A289" t="s">
        <v>23</v>
      </c>
      <c r="B289" t="s">
        <v>978</v>
      </c>
      <c r="C289" t="s">
        <v>908</v>
      </c>
      <c r="D289">
        <v>3.5454545454545401</v>
      </c>
      <c r="E289">
        <v>22</v>
      </c>
      <c r="F289">
        <v>12</v>
      </c>
      <c r="G289">
        <v>5</v>
      </c>
      <c r="H289">
        <v>5</v>
      </c>
      <c r="I289">
        <v>1</v>
      </c>
    </row>
    <row r="290" spans="1:9">
      <c r="A290" t="s">
        <v>323</v>
      </c>
      <c r="B290" t="s">
        <v>907</v>
      </c>
      <c r="C290" t="s">
        <v>908</v>
      </c>
      <c r="D290">
        <v>4.4090909090909003</v>
      </c>
      <c r="E290">
        <v>22</v>
      </c>
      <c r="F290">
        <v>18</v>
      </c>
      <c r="G290">
        <v>3</v>
      </c>
      <c r="H290">
        <v>1</v>
      </c>
      <c r="I290">
        <v>1</v>
      </c>
    </row>
    <row r="291" spans="1:9">
      <c r="A291" t="s">
        <v>464</v>
      </c>
      <c r="B291" t="s">
        <v>921</v>
      </c>
      <c r="C291" t="s">
        <v>908</v>
      </c>
      <c r="D291">
        <v>3.07894736842105</v>
      </c>
      <c r="E291">
        <v>76</v>
      </c>
      <c r="F291">
        <v>33</v>
      </c>
      <c r="G291">
        <v>15</v>
      </c>
      <c r="H291">
        <v>28</v>
      </c>
      <c r="I291">
        <v>1</v>
      </c>
    </row>
    <row r="292" spans="1:9">
      <c r="A292" t="s">
        <v>298</v>
      </c>
      <c r="B292" t="s">
        <v>931</v>
      </c>
      <c r="C292" t="s">
        <v>913</v>
      </c>
      <c r="D292">
        <v>3.98507462686567</v>
      </c>
      <c r="E292">
        <v>67</v>
      </c>
      <c r="F292">
        <v>49</v>
      </c>
      <c r="G292">
        <v>7</v>
      </c>
      <c r="H292">
        <v>11</v>
      </c>
      <c r="I292">
        <v>1</v>
      </c>
    </row>
    <row r="293" spans="1:9">
      <c r="A293" t="s">
        <v>717</v>
      </c>
      <c r="B293" t="s">
        <v>970</v>
      </c>
      <c r="C293" t="s">
        <v>908</v>
      </c>
      <c r="D293">
        <v>4.4615384615384599</v>
      </c>
      <c r="E293">
        <v>39</v>
      </c>
      <c r="F293">
        <v>34</v>
      </c>
      <c r="G293">
        <v>2</v>
      </c>
      <c r="H293">
        <v>3</v>
      </c>
      <c r="I293">
        <v>1</v>
      </c>
    </row>
    <row r="294" spans="1:9">
      <c r="A294" s="2" t="s">
        <v>591</v>
      </c>
      <c r="B294" t="s">
        <v>1037</v>
      </c>
      <c r="C294" t="s">
        <v>959</v>
      </c>
      <c r="D294">
        <v>4.5476190476190403</v>
      </c>
      <c r="E294">
        <v>84</v>
      </c>
      <c r="F294">
        <v>76</v>
      </c>
      <c r="G294">
        <v>4</v>
      </c>
      <c r="H294">
        <v>4</v>
      </c>
      <c r="I294">
        <v>1</v>
      </c>
    </row>
    <row r="295" spans="1:9">
      <c r="A295" t="s">
        <v>584</v>
      </c>
      <c r="B295" t="s">
        <v>978</v>
      </c>
      <c r="C295" t="s">
        <v>908</v>
      </c>
      <c r="D295">
        <v>4.3783783783783701</v>
      </c>
      <c r="E295">
        <v>74</v>
      </c>
      <c r="F295">
        <v>63</v>
      </c>
      <c r="G295">
        <v>5</v>
      </c>
      <c r="H295">
        <v>6</v>
      </c>
      <c r="I295">
        <v>1</v>
      </c>
    </row>
    <row r="296" spans="1:9">
      <c r="A296" t="s">
        <v>236</v>
      </c>
      <c r="B296" t="s">
        <v>1071</v>
      </c>
      <c r="C296" t="s">
        <v>920</v>
      </c>
      <c r="D296">
        <v>3.8977272727272698</v>
      </c>
      <c r="E296">
        <v>176</v>
      </c>
      <c r="F296">
        <v>127</v>
      </c>
      <c r="G296">
        <v>15</v>
      </c>
      <c r="H296">
        <v>34</v>
      </c>
      <c r="I296">
        <v>1</v>
      </c>
    </row>
    <row r="297" spans="1:9">
      <c r="A297" t="s">
        <v>338</v>
      </c>
      <c r="B297" t="s">
        <v>1072</v>
      </c>
      <c r="C297" t="s">
        <v>908</v>
      </c>
      <c r="D297">
        <v>4.48351648351648</v>
      </c>
      <c r="E297">
        <v>91</v>
      </c>
      <c r="F297">
        <v>80</v>
      </c>
      <c r="G297">
        <v>4</v>
      </c>
      <c r="H297">
        <v>7</v>
      </c>
      <c r="I297">
        <v>1</v>
      </c>
    </row>
    <row r="298" spans="1:9">
      <c r="A298" t="s">
        <v>332</v>
      </c>
      <c r="B298" t="s">
        <v>1073</v>
      </c>
      <c r="C298" t="s">
        <v>925</v>
      </c>
      <c r="D298">
        <v>3.88</v>
      </c>
      <c r="E298">
        <v>25</v>
      </c>
      <c r="F298">
        <v>15</v>
      </c>
      <c r="G298">
        <v>7</v>
      </c>
      <c r="H298">
        <v>3</v>
      </c>
      <c r="I298">
        <v>1</v>
      </c>
    </row>
    <row r="299" spans="1:9">
      <c r="A299" t="s">
        <v>585</v>
      </c>
      <c r="B299" t="s">
        <v>907</v>
      </c>
      <c r="C299" t="s">
        <v>908</v>
      </c>
      <c r="D299">
        <v>3.3043478260869499</v>
      </c>
      <c r="E299">
        <v>23</v>
      </c>
      <c r="F299">
        <v>13</v>
      </c>
      <c r="G299">
        <v>2</v>
      </c>
      <c r="H299">
        <v>8</v>
      </c>
      <c r="I299">
        <v>1</v>
      </c>
    </row>
    <row r="300" spans="1:9">
      <c r="A300" t="s">
        <v>772</v>
      </c>
      <c r="B300" t="s">
        <v>1074</v>
      </c>
      <c r="C300" t="s">
        <v>908</v>
      </c>
      <c r="D300">
        <v>4.1739130434782599</v>
      </c>
      <c r="E300">
        <v>23</v>
      </c>
      <c r="F300">
        <v>19</v>
      </c>
      <c r="G300">
        <v>1</v>
      </c>
      <c r="H300">
        <v>3</v>
      </c>
      <c r="I300">
        <v>1</v>
      </c>
    </row>
    <row r="301" spans="1:9">
      <c r="A301" t="s">
        <v>61</v>
      </c>
      <c r="B301" t="s">
        <v>1071</v>
      </c>
      <c r="C301" t="s">
        <v>920</v>
      </c>
      <c r="D301">
        <v>4.2211538461538396</v>
      </c>
      <c r="E301">
        <v>104</v>
      </c>
      <c r="F301">
        <v>85</v>
      </c>
      <c r="G301">
        <v>7</v>
      </c>
      <c r="H301">
        <v>12</v>
      </c>
      <c r="I301">
        <v>1</v>
      </c>
    </row>
    <row r="302" spans="1:9">
      <c r="A302" t="s">
        <v>884</v>
      </c>
      <c r="B302" t="s">
        <v>1075</v>
      </c>
      <c r="C302" t="s">
        <v>1064</v>
      </c>
      <c r="D302">
        <v>4.0759803921568603</v>
      </c>
      <c r="E302">
        <v>408</v>
      </c>
      <c r="F302">
        <v>321</v>
      </c>
      <c r="G302">
        <v>36</v>
      </c>
      <c r="H302">
        <v>51</v>
      </c>
      <c r="I302">
        <v>1</v>
      </c>
    </row>
    <row r="303" spans="1:9">
      <c r="A303" t="s">
        <v>625</v>
      </c>
      <c r="B303" t="s">
        <v>916</v>
      </c>
      <c r="C303" t="s">
        <v>908</v>
      </c>
      <c r="D303">
        <v>3.61467889908256</v>
      </c>
      <c r="E303">
        <v>109</v>
      </c>
      <c r="F303">
        <v>66</v>
      </c>
      <c r="G303">
        <v>11</v>
      </c>
      <c r="H303">
        <v>32</v>
      </c>
      <c r="I303">
        <v>1</v>
      </c>
    </row>
    <row r="304" spans="1:9">
      <c r="A304" t="s">
        <v>93</v>
      </c>
      <c r="B304" t="s">
        <v>1037</v>
      </c>
      <c r="C304" t="s">
        <v>959</v>
      </c>
      <c r="D304">
        <v>4.1666666666666599</v>
      </c>
      <c r="E304">
        <v>174</v>
      </c>
      <c r="F304">
        <v>137</v>
      </c>
      <c r="G304">
        <v>19</v>
      </c>
      <c r="H304">
        <v>18</v>
      </c>
      <c r="I304">
        <v>1</v>
      </c>
    </row>
    <row r="305" spans="1:9">
      <c r="A305" t="s">
        <v>299</v>
      </c>
      <c r="B305" t="s">
        <v>1062</v>
      </c>
      <c r="C305" t="s">
        <v>908</v>
      </c>
      <c r="D305">
        <v>4.0458891013384299</v>
      </c>
      <c r="E305">
        <v>523</v>
      </c>
      <c r="F305">
        <v>389</v>
      </c>
      <c r="G305">
        <v>53</v>
      </c>
      <c r="H305">
        <v>81</v>
      </c>
      <c r="I305">
        <v>1</v>
      </c>
    </row>
    <row r="306" spans="1:9">
      <c r="A306" t="s">
        <v>50</v>
      </c>
      <c r="B306" t="s">
        <v>919</v>
      </c>
      <c r="C306" t="s">
        <v>920</v>
      </c>
      <c r="D306">
        <v>4.1904761904761898</v>
      </c>
      <c r="E306">
        <v>21</v>
      </c>
      <c r="F306">
        <v>17</v>
      </c>
      <c r="G306">
        <v>1</v>
      </c>
      <c r="H306">
        <v>3</v>
      </c>
      <c r="I306">
        <v>1</v>
      </c>
    </row>
    <row r="307" spans="1:9">
      <c r="A307" t="s">
        <v>287</v>
      </c>
      <c r="B307" t="s">
        <v>922</v>
      </c>
      <c r="C307" t="s">
        <v>920</v>
      </c>
      <c r="D307">
        <v>2.93827160493827</v>
      </c>
      <c r="E307">
        <v>81</v>
      </c>
      <c r="F307">
        <v>38</v>
      </c>
      <c r="G307">
        <v>6</v>
      </c>
      <c r="H307">
        <v>37</v>
      </c>
      <c r="I307">
        <v>1</v>
      </c>
    </row>
    <row r="308" spans="1:9">
      <c r="A308" t="s">
        <v>79</v>
      </c>
      <c r="B308" t="s">
        <v>1031</v>
      </c>
      <c r="C308" t="s">
        <v>908</v>
      </c>
      <c r="D308">
        <v>4.3431372549019596</v>
      </c>
      <c r="E308">
        <v>204</v>
      </c>
      <c r="F308">
        <v>173</v>
      </c>
      <c r="G308">
        <v>13</v>
      </c>
      <c r="H308">
        <v>18</v>
      </c>
      <c r="I308">
        <v>1</v>
      </c>
    </row>
    <row r="309" spans="1:9">
      <c r="A309" t="s">
        <v>139</v>
      </c>
      <c r="B309" t="s">
        <v>1076</v>
      </c>
      <c r="C309" t="s">
        <v>913</v>
      </c>
      <c r="D309">
        <v>4.48780487804878</v>
      </c>
      <c r="E309">
        <v>41</v>
      </c>
      <c r="F309">
        <v>35</v>
      </c>
      <c r="G309">
        <v>4</v>
      </c>
      <c r="H309">
        <v>2</v>
      </c>
      <c r="I309">
        <v>1</v>
      </c>
    </row>
    <row r="310" spans="1:9">
      <c r="A310" t="s">
        <v>284</v>
      </c>
      <c r="B310" t="s">
        <v>907</v>
      </c>
      <c r="C310" t="s">
        <v>908</v>
      </c>
      <c r="D310">
        <v>3.9285714285714199</v>
      </c>
      <c r="E310">
        <v>28</v>
      </c>
      <c r="F310">
        <v>20</v>
      </c>
      <c r="G310">
        <v>4</v>
      </c>
      <c r="H310">
        <v>4</v>
      </c>
      <c r="I310">
        <v>1</v>
      </c>
    </row>
    <row r="311" spans="1:9">
      <c r="A311" t="s">
        <v>455</v>
      </c>
      <c r="B311" t="s">
        <v>937</v>
      </c>
      <c r="C311" t="s">
        <v>908</v>
      </c>
      <c r="D311">
        <v>3.7727272727272698</v>
      </c>
      <c r="E311">
        <v>22</v>
      </c>
      <c r="F311">
        <v>15</v>
      </c>
      <c r="G311">
        <v>3</v>
      </c>
      <c r="H311">
        <v>4</v>
      </c>
      <c r="I311">
        <v>1</v>
      </c>
    </row>
    <row r="312" spans="1:9">
      <c r="A312" t="s">
        <v>866</v>
      </c>
      <c r="B312" t="s">
        <v>914</v>
      </c>
      <c r="C312" t="s">
        <v>908</v>
      </c>
      <c r="D312">
        <v>4.2350746268656696</v>
      </c>
      <c r="E312">
        <v>268</v>
      </c>
      <c r="F312">
        <v>218</v>
      </c>
      <c r="G312">
        <v>24</v>
      </c>
      <c r="H312">
        <v>26</v>
      </c>
      <c r="I312">
        <v>1</v>
      </c>
    </row>
    <row r="313" spans="1:9">
      <c r="A313" s="2" t="s">
        <v>193</v>
      </c>
      <c r="B313" t="s">
        <v>1053</v>
      </c>
      <c r="C313" t="s">
        <v>1045</v>
      </c>
      <c r="D313">
        <v>3.8042328042328002</v>
      </c>
      <c r="E313">
        <v>189</v>
      </c>
      <c r="F313">
        <v>133</v>
      </c>
      <c r="G313">
        <v>16</v>
      </c>
      <c r="H313">
        <v>40</v>
      </c>
      <c r="I313">
        <v>1</v>
      </c>
    </row>
    <row r="314" spans="1:9">
      <c r="A314" t="s">
        <v>269</v>
      </c>
      <c r="B314" t="s">
        <v>907</v>
      </c>
      <c r="C314" t="s">
        <v>908</v>
      </c>
      <c r="D314">
        <v>3.7678571428571401</v>
      </c>
      <c r="E314">
        <v>56</v>
      </c>
      <c r="F314">
        <v>38</v>
      </c>
      <c r="G314">
        <v>6</v>
      </c>
      <c r="H314">
        <v>12</v>
      </c>
      <c r="I314">
        <v>1</v>
      </c>
    </row>
    <row r="315" spans="1:9">
      <c r="A315" t="s">
        <v>690</v>
      </c>
      <c r="B315" t="s">
        <v>907</v>
      </c>
      <c r="C315" t="s">
        <v>908</v>
      </c>
      <c r="D315">
        <v>4.4090909090909003</v>
      </c>
      <c r="E315">
        <v>22</v>
      </c>
      <c r="F315">
        <v>19</v>
      </c>
      <c r="G315">
        <v>1</v>
      </c>
      <c r="H315">
        <v>2</v>
      </c>
      <c r="I315">
        <v>1</v>
      </c>
    </row>
    <row r="316" spans="1:9">
      <c r="A316" t="s">
        <v>275</v>
      </c>
      <c r="B316" t="s">
        <v>932</v>
      </c>
      <c r="C316" t="s">
        <v>908</v>
      </c>
      <c r="D316">
        <v>4.1176470588235201</v>
      </c>
      <c r="E316">
        <v>34</v>
      </c>
      <c r="F316">
        <v>27</v>
      </c>
      <c r="G316">
        <v>2</v>
      </c>
      <c r="H316">
        <v>5</v>
      </c>
      <c r="I316">
        <v>1</v>
      </c>
    </row>
    <row r="317" spans="1:9">
      <c r="A317" t="s">
        <v>646</v>
      </c>
      <c r="B317" t="s">
        <v>941</v>
      </c>
      <c r="C317" t="s">
        <v>908</v>
      </c>
      <c r="D317">
        <v>4.1724137931034404</v>
      </c>
      <c r="E317">
        <v>29</v>
      </c>
      <c r="F317">
        <v>24</v>
      </c>
      <c r="G317">
        <v>1</v>
      </c>
      <c r="H317">
        <v>4</v>
      </c>
      <c r="I317">
        <v>1</v>
      </c>
    </row>
    <row r="318" spans="1:9">
      <c r="A318" s="2" t="s">
        <v>218</v>
      </c>
      <c r="B318" t="s">
        <v>1077</v>
      </c>
      <c r="C318" t="s">
        <v>930</v>
      </c>
      <c r="D318">
        <v>4.4242424242424203</v>
      </c>
      <c r="E318">
        <v>66</v>
      </c>
      <c r="F318">
        <v>56</v>
      </c>
      <c r="G318">
        <v>7</v>
      </c>
      <c r="H318">
        <v>3</v>
      </c>
      <c r="I318">
        <v>1</v>
      </c>
    </row>
    <row r="319" spans="1:9">
      <c r="A319" t="s">
        <v>380</v>
      </c>
      <c r="B319" t="s">
        <v>1078</v>
      </c>
      <c r="C319" t="s">
        <v>908</v>
      </c>
      <c r="D319">
        <v>4.11267605633802</v>
      </c>
      <c r="E319">
        <v>71</v>
      </c>
      <c r="F319">
        <v>53</v>
      </c>
      <c r="G319">
        <v>9</v>
      </c>
      <c r="H319">
        <v>9</v>
      </c>
      <c r="I319">
        <v>1</v>
      </c>
    </row>
    <row r="320" spans="1:9">
      <c r="A320" t="s">
        <v>398</v>
      </c>
      <c r="B320" t="s">
        <v>1079</v>
      </c>
      <c r="C320" t="s">
        <v>913</v>
      </c>
      <c r="D320">
        <v>4.1555555555555497</v>
      </c>
      <c r="E320">
        <v>45</v>
      </c>
      <c r="F320">
        <v>35</v>
      </c>
      <c r="G320">
        <v>4</v>
      </c>
      <c r="H320">
        <v>6</v>
      </c>
      <c r="I320">
        <v>1</v>
      </c>
    </row>
    <row r="321" spans="1:9">
      <c r="A321" t="s">
        <v>29</v>
      </c>
      <c r="B321" t="s">
        <v>981</v>
      </c>
      <c r="C321" t="s">
        <v>913</v>
      </c>
      <c r="D321">
        <v>4.5789473684210504</v>
      </c>
      <c r="E321">
        <v>38</v>
      </c>
      <c r="F321">
        <v>36</v>
      </c>
      <c r="G321">
        <v>1</v>
      </c>
      <c r="H321">
        <v>1</v>
      </c>
      <c r="I321">
        <v>1</v>
      </c>
    </row>
    <row r="322" spans="1:9">
      <c r="A322" t="s">
        <v>800</v>
      </c>
      <c r="B322" t="s">
        <v>972</v>
      </c>
      <c r="C322" t="s">
        <v>913</v>
      </c>
      <c r="D322">
        <v>3.96969696969696</v>
      </c>
      <c r="E322">
        <v>132</v>
      </c>
      <c r="F322">
        <v>98</v>
      </c>
      <c r="G322">
        <v>7</v>
      </c>
      <c r="H322">
        <v>27</v>
      </c>
      <c r="I322">
        <v>1</v>
      </c>
    </row>
    <row r="323" spans="1:9">
      <c r="A323" t="s">
        <v>568</v>
      </c>
      <c r="B323" t="s">
        <v>907</v>
      </c>
      <c r="C323" t="s">
        <v>908</v>
      </c>
      <c r="D323">
        <v>4.21875</v>
      </c>
      <c r="E323">
        <v>128</v>
      </c>
      <c r="F323">
        <v>104</v>
      </c>
      <c r="G323">
        <v>12</v>
      </c>
      <c r="H323">
        <v>12</v>
      </c>
      <c r="I323">
        <v>1</v>
      </c>
    </row>
    <row r="324" spans="1:9">
      <c r="A324" t="s">
        <v>461</v>
      </c>
      <c r="B324" t="s">
        <v>914</v>
      </c>
      <c r="C324" t="s">
        <v>908</v>
      </c>
      <c r="D324">
        <v>4.1722222222222198</v>
      </c>
      <c r="E324">
        <v>180</v>
      </c>
      <c r="F324">
        <v>139</v>
      </c>
      <c r="G324">
        <v>20</v>
      </c>
      <c r="H324">
        <v>21</v>
      </c>
      <c r="I324">
        <v>1</v>
      </c>
    </row>
    <row r="325" spans="1:9">
      <c r="A325" t="s">
        <v>320</v>
      </c>
      <c r="B325" t="s">
        <v>1080</v>
      </c>
      <c r="C325" t="s">
        <v>908</v>
      </c>
      <c r="D325">
        <v>4.7272727272727204</v>
      </c>
      <c r="E325">
        <v>44</v>
      </c>
      <c r="F325">
        <v>42</v>
      </c>
      <c r="G325">
        <v>0</v>
      </c>
      <c r="H325">
        <v>2</v>
      </c>
      <c r="I325">
        <v>1</v>
      </c>
    </row>
    <row r="326" spans="1:9">
      <c r="A326" s="2" t="s">
        <v>488</v>
      </c>
      <c r="B326" t="s">
        <v>907</v>
      </c>
      <c r="C326" t="s">
        <v>908</v>
      </c>
      <c r="D326">
        <v>3.5142857142857098</v>
      </c>
      <c r="E326">
        <v>35</v>
      </c>
      <c r="F326">
        <v>20</v>
      </c>
      <c r="G326">
        <v>6</v>
      </c>
      <c r="H326">
        <v>9</v>
      </c>
      <c r="I326">
        <v>1</v>
      </c>
    </row>
    <row r="327" spans="1:9">
      <c r="A327" t="s">
        <v>887</v>
      </c>
      <c r="B327" t="s">
        <v>1081</v>
      </c>
      <c r="C327" t="s">
        <v>959</v>
      </c>
      <c r="D327">
        <v>3.63636363636363</v>
      </c>
      <c r="E327">
        <v>22</v>
      </c>
      <c r="F327">
        <v>16</v>
      </c>
      <c r="G327">
        <v>0</v>
      </c>
      <c r="H327">
        <v>6</v>
      </c>
      <c r="I327">
        <v>1</v>
      </c>
    </row>
    <row r="328" spans="1:9">
      <c r="A328" t="s">
        <v>208</v>
      </c>
      <c r="B328" t="s">
        <v>1082</v>
      </c>
      <c r="C328" t="s">
        <v>920</v>
      </c>
      <c r="D328">
        <v>4.0333333333333297</v>
      </c>
      <c r="E328">
        <v>30</v>
      </c>
      <c r="F328">
        <v>21</v>
      </c>
      <c r="G328">
        <v>5</v>
      </c>
      <c r="H328">
        <v>4</v>
      </c>
      <c r="I328">
        <v>1</v>
      </c>
    </row>
    <row r="329" spans="1:9">
      <c r="A329" t="s">
        <v>764</v>
      </c>
      <c r="B329" t="s">
        <v>927</v>
      </c>
      <c r="C329" t="s">
        <v>908</v>
      </c>
      <c r="D329">
        <v>4.1951219512195097</v>
      </c>
      <c r="E329">
        <v>41</v>
      </c>
      <c r="F329">
        <v>34</v>
      </c>
      <c r="G329">
        <v>2</v>
      </c>
      <c r="H329">
        <v>5</v>
      </c>
      <c r="I329">
        <v>1</v>
      </c>
    </row>
    <row r="330" spans="1:9">
      <c r="A330" t="s">
        <v>63</v>
      </c>
      <c r="B330" t="s">
        <v>907</v>
      </c>
      <c r="C330" t="s">
        <v>908</v>
      </c>
      <c r="D330">
        <v>4.6060606060606002</v>
      </c>
      <c r="E330">
        <v>66</v>
      </c>
      <c r="F330">
        <v>62</v>
      </c>
      <c r="G330">
        <v>1</v>
      </c>
      <c r="H330">
        <v>3</v>
      </c>
      <c r="I330">
        <v>1</v>
      </c>
    </row>
    <row r="331" spans="1:9">
      <c r="A331" t="s">
        <v>757</v>
      </c>
      <c r="B331" t="s">
        <v>923</v>
      </c>
      <c r="C331" t="s">
        <v>913</v>
      </c>
      <c r="D331">
        <v>2.3333333333333299</v>
      </c>
      <c r="E331">
        <v>21</v>
      </c>
      <c r="F331">
        <v>4</v>
      </c>
      <c r="G331">
        <v>5</v>
      </c>
      <c r="H331">
        <v>12</v>
      </c>
      <c r="I331">
        <v>1</v>
      </c>
    </row>
    <row r="332" spans="1:9">
      <c r="A332" t="s">
        <v>598</v>
      </c>
      <c r="B332" t="s">
        <v>1083</v>
      </c>
      <c r="C332" t="s">
        <v>959</v>
      </c>
      <c r="D332">
        <v>4.6956521739130404</v>
      </c>
      <c r="E332">
        <v>23</v>
      </c>
      <c r="F332">
        <v>21</v>
      </c>
      <c r="G332">
        <v>2</v>
      </c>
      <c r="H332">
        <v>0</v>
      </c>
      <c r="I332">
        <v>1</v>
      </c>
    </row>
    <row r="333" spans="1:9">
      <c r="A333" t="s">
        <v>783</v>
      </c>
      <c r="B333" t="s">
        <v>907</v>
      </c>
      <c r="C333" t="s">
        <v>908</v>
      </c>
      <c r="D333">
        <v>4.13</v>
      </c>
      <c r="E333">
        <v>100</v>
      </c>
      <c r="F333">
        <v>76</v>
      </c>
      <c r="G333">
        <v>13</v>
      </c>
      <c r="H333">
        <v>11</v>
      </c>
      <c r="I333">
        <v>1</v>
      </c>
    </row>
    <row r="334" spans="1:9">
      <c r="A334" t="s">
        <v>314</v>
      </c>
      <c r="B334" t="s">
        <v>907</v>
      </c>
      <c r="C334" t="s">
        <v>908</v>
      </c>
      <c r="D334">
        <v>4.1142857142857103</v>
      </c>
      <c r="E334">
        <v>35</v>
      </c>
      <c r="F334">
        <v>28</v>
      </c>
      <c r="G334">
        <v>2</v>
      </c>
      <c r="H334">
        <v>5</v>
      </c>
      <c r="I334">
        <v>1</v>
      </c>
    </row>
    <row r="335" spans="1:9">
      <c r="A335" t="s">
        <v>316</v>
      </c>
      <c r="B335" t="s">
        <v>1022</v>
      </c>
      <c r="C335" t="s">
        <v>908</v>
      </c>
      <c r="D335">
        <v>4.0416666666666599</v>
      </c>
      <c r="E335">
        <v>24</v>
      </c>
      <c r="F335">
        <v>19</v>
      </c>
      <c r="G335">
        <v>0</v>
      </c>
      <c r="H335">
        <v>5</v>
      </c>
      <c r="I335">
        <v>1</v>
      </c>
    </row>
    <row r="336" spans="1:9">
      <c r="A336" s="2" t="s">
        <v>98</v>
      </c>
      <c r="B336" t="s">
        <v>1084</v>
      </c>
      <c r="C336" t="s">
        <v>920</v>
      </c>
      <c r="D336">
        <v>4.3157894736842097</v>
      </c>
      <c r="E336">
        <v>38</v>
      </c>
      <c r="F336">
        <v>30</v>
      </c>
      <c r="G336">
        <v>4</v>
      </c>
      <c r="H336">
        <v>4</v>
      </c>
      <c r="I336">
        <v>1</v>
      </c>
    </row>
    <row r="337" spans="1:9">
      <c r="A337" t="s">
        <v>451</v>
      </c>
      <c r="B337" t="s">
        <v>1085</v>
      </c>
      <c r="C337" t="s">
        <v>913</v>
      </c>
      <c r="D337">
        <v>4.4387096774193502</v>
      </c>
      <c r="E337">
        <v>155</v>
      </c>
      <c r="F337">
        <v>135</v>
      </c>
      <c r="G337">
        <v>7</v>
      </c>
      <c r="H337">
        <v>13</v>
      </c>
      <c r="I337">
        <v>1</v>
      </c>
    </row>
    <row r="338" spans="1:9">
      <c r="A338" t="s">
        <v>375</v>
      </c>
      <c r="B338" t="s">
        <v>992</v>
      </c>
      <c r="C338" t="s">
        <v>908</v>
      </c>
      <c r="D338">
        <v>4.0526315789473601</v>
      </c>
      <c r="E338">
        <v>95</v>
      </c>
      <c r="F338">
        <v>73</v>
      </c>
      <c r="G338">
        <v>10</v>
      </c>
      <c r="H338">
        <v>12</v>
      </c>
      <c r="I338">
        <v>1</v>
      </c>
    </row>
    <row r="339" spans="1:9">
      <c r="A339" s="2" t="s">
        <v>558</v>
      </c>
      <c r="B339" t="s">
        <v>988</v>
      </c>
      <c r="C339" t="s">
        <v>908</v>
      </c>
      <c r="D339">
        <v>3.9375</v>
      </c>
      <c r="E339">
        <v>32</v>
      </c>
      <c r="F339">
        <v>23</v>
      </c>
      <c r="G339">
        <v>4</v>
      </c>
      <c r="H339">
        <v>5</v>
      </c>
      <c r="I339">
        <v>1</v>
      </c>
    </row>
    <row r="340" spans="1:9">
      <c r="A340" t="s">
        <v>166</v>
      </c>
      <c r="B340" t="s">
        <v>1086</v>
      </c>
      <c r="C340" t="s">
        <v>908</v>
      </c>
      <c r="D340">
        <v>3.9912280701754299</v>
      </c>
      <c r="E340">
        <v>342</v>
      </c>
      <c r="F340">
        <v>255</v>
      </c>
      <c r="G340">
        <v>20</v>
      </c>
      <c r="H340">
        <v>67</v>
      </c>
      <c r="I340">
        <v>1</v>
      </c>
    </row>
    <row r="341" spans="1:9">
      <c r="A341" t="s">
        <v>828</v>
      </c>
      <c r="B341" t="s">
        <v>1023</v>
      </c>
      <c r="C341" t="s">
        <v>920</v>
      </c>
      <c r="D341">
        <v>4.2727272727272698</v>
      </c>
      <c r="E341">
        <v>33</v>
      </c>
      <c r="F341">
        <v>24</v>
      </c>
      <c r="G341">
        <v>6</v>
      </c>
      <c r="H341">
        <v>3</v>
      </c>
      <c r="I341">
        <v>1</v>
      </c>
    </row>
    <row r="342" spans="1:9">
      <c r="A342" t="s">
        <v>621</v>
      </c>
      <c r="B342" t="s">
        <v>907</v>
      </c>
      <c r="C342" t="s">
        <v>908</v>
      </c>
      <c r="D342">
        <v>4.4285714285714199</v>
      </c>
      <c r="E342">
        <v>77</v>
      </c>
      <c r="F342">
        <v>68</v>
      </c>
      <c r="G342">
        <v>3</v>
      </c>
      <c r="H342">
        <v>6</v>
      </c>
      <c r="I342">
        <v>1</v>
      </c>
    </row>
    <row r="343" spans="1:9">
      <c r="A343" t="s">
        <v>406</v>
      </c>
      <c r="B343" t="s">
        <v>907</v>
      </c>
      <c r="C343" t="s">
        <v>908</v>
      </c>
      <c r="D343">
        <v>3.7702702702702702</v>
      </c>
      <c r="E343">
        <v>74</v>
      </c>
      <c r="F343">
        <v>52</v>
      </c>
      <c r="G343">
        <v>4</v>
      </c>
      <c r="H343">
        <v>18</v>
      </c>
      <c r="I343">
        <v>1</v>
      </c>
    </row>
    <row r="344" spans="1:9">
      <c r="A344" t="s">
        <v>696</v>
      </c>
      <c r="B344" t="s">
        <v>907</v>
      </c>
      <c r="C344" t="s">
        <v>908</v>
      </c>
      <c r="D344">
        <v>4.5777777777777704</v>
      </c>
      <c r="E344">
        <v>45</v>
      </c>
      <c r="F344">
        <v>39</v>
      </c>
      <c r="G344">
        <v>5</v>
      </c>
      <c r="H344">
        <v>1</v>
      </c>
      <c r="I344">
        <v>1</v>
      </c>
    </row>
    <row r="345" spans="1:9">
      <c r="A345" t="s">
        <v>462</v>
      </c>
      <c r="B345" t="s">
        <v>907</v>
      </c>
      <c r="C345" t="s">
        <v>908</v>
      </c>
      <c r="D345">
        <v>4.44827586206896</v>
      </c>
      <c r="E345">
        <v>29</v>
      </c>
      <c r="F345">
        <v>26</v>
      </c>
      <c r="G345">
        <v>1</v>
      </c>
      <c r="H345">
        <v>2</v>
      </c>
      <c r="I345">
        <v>1</v>
      </c>
    </row>
    <row r="346" spans="1:9">
      <c r="A346" t="s">
        <v>495</v>
      </c>
      <c r="B346" t="s">
        <v>911</v>
      </c>
      <c r="C346" t="s">
        <v>908</v>
      </c>
      <c r="D346">
        <v>2.9322033898305002</v>
      </c>
      <c r="E346">
        <v>59</v>
      </c>
      <c r="F346">
        <v>26</v>
      </c>
      <c r="G346">
        <v>6</v>
      </c>
      <c r="H346">
        <v>27</v>
      </c>
      <c r="I346">
        <v>1</v>
      </c>
    </row>
    <row r="347" spans="1:9">
      <c r="A347" s="2" t="s">
        <v>832</v>
      </c>
      <c r="B347" t="s">
        <v>937</v>
      </c>
      <c r="C347" t="s">
        <v>908</v>
      </c>
      <c r="D347">
        <v>3.8421052631578898</v>
      </c>
      <c r="E347">
        <v>76</v>
      </c>
      <c r="F347">
        <v>50</v>
      </c>
      <c r="G347">
        <v>12</v>
      </c>
      <c r="H347">
        <v>14</v>
      </c>
      <c r="I347">
        <v>1</v>
      </c>
    </row>
    <row r="348" spans="1:9">
      <c r="A348" t="s">
        <v>123</v>
      </c>
      <c r="B348" t="s">
        <v>914</v>
      </c>
      <c r="C348" t="s">
        <v>908</v>
      </c>
      <c r="D348">
        <v>4.71428571428571</v>
      </c>
      <c r="E348">
        <v>35</v>
      </c>
      <c r="F348">
        <v>34</v>
      </c>
      <c r="G348">
        <v>0</v>
      </c>
      <c r="H348">
        <v>1</v>
      </c>
      <c r="I348">
        <v>1</v>
      </c>
    </row>
    <row r="349" spans="1:9">
      <c r="A349" t="s">
        <v>210</v>
      </c>
      <c r="B349" t="s">
        <v>929</v>
      </c>
      <c r="C349" t="s">
        <v>930</v>
      </c>
      <c r="D349">
        <v>3.5983606557377001</v>
      </c>
      <c r="E349">
        <v>122</v>
      </c>
      <c r="F349">
        <v>79</v>
      </c>
      <c r="G349">
        <v>11</v>
      </c>
      <c r="H349">
        <v>32</v>
      </c>
      <c r="I349">
        <v>1</v>
      </c>
    </row>
    <row r="350" spans="1:9">
      <c r="A350" t="s">
        <v>824</v>
      </c>
      <c r="B350" t="s">
        <v>1073</v>
      </c>
      <c r="C350" t="s">
        <v>925</v>
      </c>
      <c r="D350">
        <v>4.4272727272727197</v>
      </c>
      <c r="E350">
        <v>110</v>
      </c>
      <c r="F350">
        <v>94</v>
      </c>
      <c r="G350">
        <v>8</v>
      </c>
      <c r="H350">
        <v>8</v>
      </c>
      <c r="I350">
        <v>1</v>
      </c>
    </row>
    <row r="351" spans="1:9">
      <c r="A351" t="s">
        <v>634</v>
      </c>
      <c r="B351" t="s">
        <v>1081</v>
      </c>
      <c r="C351" t="s">
        <v>959</v>
      </c>
      <c r="D351">
        <v>4.21518987341772</v>
      </c>
      <c r="E351">
        <v>790</v>
      </c>
      <c r="F351">
        <v>632</v>
      </c>
      <c r="G351">
        <v>49</v>
      </c>
      <c r="H351">
        <v>109</v>
      </c>
      <c r="I351">
        <v>1</v>
      </c>
    </row>
    <row r="352" spans="1:9">
      <c r="A352" t="s">
        <v>460</v>
      </c>
      <c r="B352" t="s">
        <v>907</v>
      </c>
      <c r="C352" t="s">
        <v>908</v>
      </c>
      <c r="D352">
        <v>4.1851851851851798</v>
      </c>
      <c r="E352">
        <v>54</v>
      </c>
      <c r="F352">
        <v>41</v>
      </c>
      <c r="G352">
        <v>6</v>
      </c>
      <c r="H352">
        <v>7</v>
      </c>
      <c r="I352">
        <v>1</v>
      </c>
    </row>
    <row r="353" spans="1:9">
      <c r="A353" t="s">
        <v>448</v>
      </c>
      <c r="B353" t="s">
        <v>916</v>
      </c>
      <c r="C353" t="s">
        <v>908</v>
      </c>
      <c r="D353">
        <v>3.9545454545454501</v>
      </c>
      <c r="E353">
        <v>22</v>
      </c>
      <c r="F353">
        <v>17</v>
      </c>
      <c r="G353">
        <v>2</v>
      </c>
      <c r="H353">
        <v>3</v>
      </c>
      <c r="I353">
        <v>1</v>
      </c>
    </row>
    <row r="354" spans="1:9">
      <c r="A354" t="s">
        <v>276</v>
      </c>
      <c r="B354" t="s">
        <v>1087</v>
      </c>
      <c r="C354" t="s">
        <v>925</v>
      </c>
      <c r="D354">
        <v>4.6097560975609699</v>
      </c>
      <c r="E354">
        <v>41</v>
      </c>
      <c r="F354">
        <v>39</v>
      </c>
      <c r="G354">
        <v>0</v>
      </c>
      <c r="H354">
        <v>2</v>
      </c>
      <c r="I354">
        <v>1</v>
      </c>
    </row>
    <row r="355" spans="1:9">
      <c r="A355" t="s">
        <v>682</v>
      </c>
      <c r="B355" t="s">
        <v>1037</v>
      </c>
      <c r="C355" t="s">
        <v>959</v>
      </c>
      <c r="D355">
        <v>3.8584615384615302</v>
      </c>
      <c r="E355">
        <v>325</v>
      </c>
      <c r="F355">
        <v>229</v>
      </c>
      <c r="G355">
        <v>33</v>
      </c>
      <c r="H355">
        <v>63</v>
      </c>
      <c r="I355">
        <v>1</v>
      </c>
    </row>
    <row r="356" spans="1:9">
      <c r="A356" t="s">
        <v>21</v>
      </c>
      <c r="B356" t="s">
        <v>927</v>
      </c>
      <c r="C356" t="s">
        <v>908</v>
      </c>
      <c r="D356">
        <v>4.62962962962962</v>
      </c>
      <c r="E356">
        <v>27</v>
      </c>
      <c r="F356">
        <v>26</v>
      </c>
      <c r="G356">
        <v>0</v>
      </c>
      <c r="H356">
        <v>1</v>
      </c>
      <c r="I356">
        <v>1</v>
      </c>
    </row>
    <row r="357" spans="1:9">
      <c r="A357" t="s">
        <v>66</v>
      </c>
      <c r="B357" t="s">
        <v>907</v>
      </c>
      <c r="C357" t="s">
        <v>908</v>
      </c>
      <c r="D357">
        <v>3.6923076923076898</v>
      </c>
      <c r="E357">
        <v>39</v>
      </c>
      <c r="F357">
        <v>26</v>
      </c>
      <c r="G357">
        <v>5</v>
      </c>
      <c r="H357">
        <v>8</v>
      </c>
      <c r="I357">
        <v>1</v>
      </c>
    </row>
    <row r="358" spans="1:9">
      <c r="A358" t="s">
        <v>271</v>
      </c>
      <c r="B358" t="s">
        <v>911</v>
      </c>
      <c r="C358" t="s">
        <v>908</v>
      </c>
      <c r="D358">
        <v>4.2627737226277302</v>
      </c>
      <c r="E358">
        <v>137</v>
      </c>
      <c r="F358">
        <v>111</v>
      </c>
      <c r="G358">
        <v>14</v>
      </c>
      <c r="H358">
        <v>12</v>
      </c>
      <c r="I358">
        <v>1</v>
      </c>
    </row>
    <row r="359" spans="1:9">
      <c r="A359" t="s">
        <v>818</v>
      </c>
      <c r="B359" t="s">
        <v>941</v>
      </c>
      <c r="C359" t="s">
        <v>908</v>
      </c>
      <c r="D359">
        <v>4.1739130434782599</v>
      </c>
      <c r="E359">
        <v>23</v>
      </c>
      <c r="F359">
        <v>19</v>
      </c>
      <c r="G359">
        <v>2</v>
      </c>
      <c r="H359">
        <v>2</v>
      </c>
      <c r="I359">
        <v>1</v>
      </c>
    </row>
    <row r="360" spans="1:9">
      <c r="A360" t="s">
        <v>823</v>
      </c>
      <c r="B360" t="s">
        <v>907</v>
      </c>
      <c r="C360" t="s">
        <v>908</v>
      </c>
      <c r="D360">
        <v>4.4264705882352899</v>
      </c>
      <c r="E360">
        <v>68</v>
      </c>
      <c r="F360">
        <v>61</v>
      </c>
      <c r="G360">
        <v>4</v>
      </c>
      <c r="H360">
        <v>3</v>
      </c>
      <c r="I360">
        <v>1</v>
      </c>
    </row>
    <row r="361" spans="1:9">
      <c r="A361" s="2" t="s">
        <v>296</v>
      </c>
      <c r="B361" t="s">
        <v>1041</v>
      </c>
      <c r="C361" t="s">
        <v>908</v>
      </c>
      <c r="D361">
        <v>4.1395348837209296</v>
      </c>
      <c r="E361">
        <v>43</v>
      </c>
      <c r="F361">
        <v>33</v>
      </c>
      <c r="G361">
        <v>6</v>
      </c>
      <c r="H361">
        <v>4</v>
      </c>
      <c r="I361">
        <v>1</v>
      </c>
    </row>
    <row r="362" spans="1:9">
      <c r="A362" t="s">
        <v>349</v>
      </c>
      <c r="B362" t="s">
        <v>907</v>
      </c>
      <c r="C362" t="s">
        <v>908</v>
      </c>
      <c r="D362">
        <v>3.9094059405940502</v>
      </c>
      <c r="E362">
        <v>2020</v>
      </c>
      <c r="F362">
        <v>1441</v>
      </c>
      <c r="G362">
        <v>218</v>
      </c>
      <c r="H362">
        <v>361</v>
      </c>
      <c r="I362">
        <v>1</v>
      </c>
    </row>
    <row r="363" spans="1:9">
      <c r="A363" t="s">
        <v>88</v>
      </c>
      <c r="B363" t="s">
        <v>950</v>
      </c>
      <c r="C363" t="s">
        <v>920</v>
      </c>
      <c r="D363">
        <v>4.0434782608695601</v>
      </c>
      <c r="E363">
        <v>23</v>
      </c>
      <c r="F363">
        <v>18</v>
      </c>
      <c r="G363">
        <v>4</v>
      </c>
      <c r="H363">
        <v>1</v>
      </c>
      <c r="I363">
        <v>1</v>
      </c>
    </row>
    <row r="364" spans="1:9">
      <c r="A364" t="s">
        <v>664</v>
      </c>
      <c r="B364" t="s">
        <v>1088</v>
      </c>
      <c r="C364" t="s">
        <v>1040</v>
      </c>
      <c r="D364">
        <v>4.3499999999999996</v>
      </c>
      <c r="E364">
        <v>20</v>
      </c>
      <c r="F364">
        <v>17</v>
      </c>
      <c r="G364">
        <v>1</v>
      </c>
      <c r="H364">
        <v>2</v>
      </c>
      <c r="I364">
        <v>1</v>
      </c>
    </row>
    <row r="365" spans="1:9">
      <c r="A365" t="s">
        <v>857</v>
      </c>
      <c r="B365" t="s">
        <v>907</v>
      </c>
      <c r="C365" t="s">
        <v>908</v>
      </c>
      <c r="D365">
        <v>4.2249999999999996</v>
      </c>
      <c r="E365">
        <v>40</v>
      </c>
      <c r="F365">
        <v>31</v>
      </c>
      <c r="G365">
        <v>3</v>
      </c>
      <c r="H365">
        <v>6</v>
      </c>
      <c r="I365">
        <v>1</v>
      </c>
    </row>
    <row r="366" spans="1:9">
      <c r="A366" t="s">
        <v>177</v>
      </c>
      <c r="B366" t="s">
        <v>912</v>
      </c>
      <c r="C366" t="s">
        <v>913</v>
      </c>
      <c r="D366">
        <v>4.4516129032257998</v>
      </c>
      <c r="E366">
        <v>155</v>
      </c>
      <c r="F366">
        <v>137</v>
      </c>
      <c r="G366">
        <v>8</v>
      </c>
      <c r="H366">
        <v>10</v>
      </c>
      <c r="I366">
        <v>1</v>
      </c>
    </row>
    <row r="367" spans="1:9">
      <c r="A367" t="s">
        <v>532</v>
      </c>
      <c r="B367" t="s">
        <v>1089</v>
      </c>
      <c r="C367" t="s">
        <v>930</v>
      </c>
      <c r="D367">
        <v>4.1016042780748601</v>
      </c>
      <c r="E367">
        <v>187</v>
      </c>
      <c r="F367">
        <v>149</v>
      </c>
      <c r="G367">
        <v>10</v>
      </c>
      <c r="H367">
        <v>28</v>
      </c>
      <c r="I367">
        <v>1</v>
      </c>
    </row>
    <row r="368" spans="1:9">
      <c r="A368" t="s">
        <v>660</v>
      </c>
      <c r="B368" t="s">
        <v>1066</v>
      </c>
      <c r="C368" t="s">
        <v>908</v>
      </c>
      <c r="D368">
        <v>3.4285714285714199</v>
      </c>
      <c r="E368">
        <v>42</v>
      </c>
      <c r="F368">
        <v>26</v>
      </c>
      <c r="G368">
        <v>3</v>
      </c>
      <c r="H368">
        <v>13</v>
      </c>
      <c r="I368">
        <v>1</v>
      </c>
    </row>
    <row r="369" spans="1:9">
      <c r="A369" s="2" t="s">
        <v>778</v>
      </c>
      <c r="B369" t="s">
        <v>907</v>
      </c>
      <c r="C369" t="s">
        <v>908</v>
      </c>
      <c r="D369">
        <v>3.9354838709677402</v>
      </c>
      <c r="E369">
        <v>31</v>
      </c>
      <c r="F369">
        <v>22</v>
      </c>
      <c r="G369">
        <v>4</v>
      </c>
      <c r="H369">
        <v>5</v>
      </c>
      <c r="I369">
        <v>1</v>
      </c>
    </row>
    <row r="370" spans="1:9">
      <c r="A370" t="s">
        <v>782</v>
      </c>
      <c r="B370" t="s">
        <v>924</v>
      </c>
      <c r="C370" t="s">
        <v>925</v>
      </c>
      <c r="D370">
        <v>2.9047619047619002</v>
      </c>
      <c r="E370">
        <v>21</v>
      </c>
      <c r="F370">
        <v>10</v>
      </c>
      <c r="G370">
        <v>3</v>
      </c>
      <c r="H370">
        <v>8</v>
      </c>
      <c r="I370">
        <v>1</v>
      </c>
    </row>
    <row r="371" spans="1:9">
      <c r="A371" t="s">
        <v>811</v>
      </c>
      <c r="B371" t="s">
        <v>950</v>
      </c>
      <c r="C371" t="s">
        <v>920</v>
      </c>
      <c r="D371">
        <v>4.3103448275862002</v>
      </c>
      <c r="E371">
        <v>87</v>
      </c>
      <c r="F371">
        <v>71</v>
      </c>
      <c r="G371">
        <v>9</v>
      </c>
      <c r="H371">
        <v>7</v>
      </c>
      <c r="I371">
        <v>1</v>
      </c>
    </row>
    <row r="372" spans="1:9">
      <c r="A372" t="s">
        <v>67</v>
      </c>
      <c r="B372" t="s">
        <v>919</v>
      </c>
      <c r="C372" t="s">
        <v>920</v>
      </c>
      <c r="D372">
        <v>4.7037037037036997</v>
      </c>
      <c r="E372">
        <v>27</v>
      </c>
      <c r="F372">
        <v>26</v>
      </c>
      <c r="G372">
        <v>0</v>
      </c>
      <c r="H372">
        <v>1</v>
      </c>
      <c r="I372">
        <v>1</v>
      </c>
    </row>
    <row r="373" spans="1:9">
      <c r="A373" t="s">
        <v>425</v>
      </c>
      <c r="B373" t="s">
        <v>1090</v>
      </c>
      <c r="C373" t="s">
        <v>913</v>
      </c>
      <c r="D373">
        <v>4.5714285714285703</v>
      </c>
      <c r="E373">
        <v>21</v>
      </c>
      <c r="F373">
        <v>19</v>
      </c>
      <c r="G373">
        <v>1</v>
      </c>
      <c r="H373">
        <v>1</v>
      </c>
      <c r="I373">
        <v>1</v>
      </c>
    </row>
    <row r="374" spans="1:9">
      <c r="A374" t="s">
        <v>40</v>
      </c>
      <c r="B374" t="s">
        <v>919</v>
      </c>
      <c r="C374" t="s">
        <v>920</v>
      </c>
      <c r="D374">
        <v>4</v>
      </c>
      <c r="E374">
        <v>22</v>
      </c>
      <c r="F374">
        <v>14</v>
      </c>
      <c r="G374">
        <v>5</v>
      </c>
      <c r="H374">
        <v>3</v>
      </c>
      <c r="I374">
        <v>1</v>
      </c>
    </row>
    <row r="375" spans="1:9">
      <c r="A375" t="s">
        <v>691</v>
      </c>
      <c r="B375" t="s">
        <v>1091</v>
      </c>
      <c r="C375" t="s">
        <v>920</v>
      </c>
      <c r="D375">
        <v>3.8695652173913002</v>
      </c>
      <c r="E375">
        <v>23</v>
      </c>
      <c r="F375">
        <v>16</v>
      </c>
      <c r="G375">
        <v>1</v>
      </c>
      <c r="H375">
        <v>6</v>
      </c>
      <c r="I375">
        <v>1</v>
      </c>
    </row>
    <row r="376" spans="1:9">
      <c r="A376" t="s">
        <v>154</v>
      </c>
      <c r="B376" t="s">
        <v>1017</v>
      </c>
      <c r="C376" t="s">
        <v>908</v>
      </c>
      <c r="D376">
        <v>4.1566265060240903</v>
      </c>
      <c r="E376">
        <v>83</v>
      </c>
      <c r="F376">
        <v>66</v>
      </c>
      <c r="G376">
        <v>5</v>
      </c>
      <c r="H376">
        <v>12</v>
      </c>
      <c r="I376">
        <v>1</v>
      </c>
    </row>
    <row r="377" spans="1:9">
      <c r="A377" t="s">
        <v>247</v>
      </c>
      <c r="B377" t="s">
        <v>938</v>
      </c>
      <c r="C377" t="s">
        <v>908</v>
      </c>
      <c r="D377">
        <v>3.7676767676767602</v>
      </c>
      <c r="E377">
        <v>99</v>
      </c>
      <c r="F377">
        <v>71</v>
      </c>
      <c r="G377">
        <v>9</v>
      </c>
      <c r="H377">
        <v>19</v>
      </c>
      <c r="I377">
        <v>1</v>
      </c>
    </row>
    <row r="378" spans="1:9">
      <c r="A378" t="s">
        <v>564</v>
      </c>
      <c r="B378" t="s">
        <v>927</v>
      </c>
      <c r="C378" t="s">
        <v>908</v>
      </c>
      <c r="D378">
        <v>3.5258620689655098</v>
      </c>
      <c r="E378">
        <v>116</v>
      </c>
      <c r="F378">
        <v>67</v>
      </c>
      <c r="G378">
        <v>16</v>
      </c>
      <c r="H378">
        <v>33</v>
      </c>
      <c r="I378">
        <v>1</v>
      </c>
    </row>
    <row r="379" spans="1:9">
      <c r="A379" t="s">
        <v>850</v>
      </c>
      <c r="B379" t="s">
        <v>984</v>
      </c>
      <c r="C379" t="s">
        <v>908</v>
      </c>
      <c r="D379">
        <v>4.0588235294117601</v>
      </c>
      <c r="E379">
        <v>34</v>
      </c>
      <c r="F379">
        <v>26</v>
      </c>
      <c r="G379">
        <v>4</v>
      </c>
      <c r="H379">
        <v>4</v>
      </c>
      <c r="I379">
        <v>1</v>
      </c>
    </row>
    <row r="380" spans="1:9">
      <c r="A380" t="s">
        <v>444</v>
      </c>
      <c r="B380" t="s">
        <v>1092</v>
      </c>
      <c r="C380" t="s">
        <v>1040</v>
      </c>
      <c r="D380">
        <v>4.4090909090909003</v>
      </c>
      <c r="E380">
        <v>22</v>
      </c>
      <c r="F380">
        <v>20</v>
      </c>
      <c r="G380">
        <v>2</v>
      </c>
      <c r="H380">
        <v>0</v>
      </c>
      <c r="I380">
        <v>1</v>
      </c>
    </row>
    <row r="381" spans="1:9">
      <c r="A381" t="s">
        <v>158</v>
      </c>
      <c r="B381" t="s">
        <v>969</v>
      </c>
      <c r="C381" t="s">
        <v>908</v>
      </c>
      <c r="D381">
        <v>3.9393939393939301</v>
      </c>
      <c r="E381">
        <v>33</v>
      </c>
      <c r="F381">
        <v>26</v>
      </c>
      <c r="G381">
        <v>1</v>
      </c>
      <c r="H381">
        <v>6</v>
      </c>
      <c r="I381">
        <v>1</v>
      </c>
    </row>
    <row r="382" spans="1:9">
      <c r="A382" t="s">
        <v>128</v>
      </c>
      <c r="B382" t="s">
        <v>907</v>
      </c>
      <c r="C382" t="s">
        <v>908</v>
      </c>
      <c r="D382">
        <v>3.93333333333333</v>
      </c>
      <c r="E382">
        <v>30</v>
      </c>
      <c r="F382">
        <v>24</v>
      </c>
      <c r="G382">
        <v>2</v>
      </c>
      <c r="H382">
        <v>4</v>
      </c>
      <c r="I382">
        <v>1</v>
      </c>
    </row>
    <row r="383" spans="1:9">
      <c r="A383" t="s">
        <v>339</v>
      </c>
      <c r="B383" t="s">
        <v>1093</v>
      </c>
      <c r="C383" t="s">
        <v>908</v>
      </c>
      <c r="D383">
        <v>4.1176470588235201</v>
      </c>
      <c r="E383">
        <v>136</v>
      </c>
      <c r="F383">
        <v>106</v>
      </c>
      <c r="G383">
        <v>14</v>
      </c>
      <c r="H383">
        <v>16</v>
      </c>
      <c r="I383">
        <v>1</v>
      </c>
    </row>
    <row r="384" spans="1:9">
      <c r="A384" t="s">
        <v>687</v>
      </c>
      <c r="B384" t="s">
        <v>1003</v>
      </c>
      <c r="C384" t="s">
        <v>959</v>
      </c>
      <c r="D384">
        <v>4.5454545454545396</v>
      </c>
      <c r="E384">
        <v>22</v>
      </c>
      <c r="F384">
        <v>19</v>
      </c>
      <c r="G384">
        <v>1</v>
      </c>
      <c r="H384">
        <v>2</v>
      </c>
      <c r="I384">
        <v>1</v>
      </c>
    </row>
    <row r="385" spans="1:9">
      <c r="A385" t="s">
        <v>465</v>
      </c>
      <c r="B385" t="s">
        <v>1094</v>
      </c>
      <c r="C385" t="s">
        <v>908</v>
      </c>
      <c r="D385">
        <v>4.6666666666666599</v>
      </c>
      <c r="E385">
        <v>21</v>
      </c>
      <c r="F385">
        <v>19</v>
      </c>
      <c r="G385">
        <v>2</v>
      </c>
      <c r="H385">
        <v>0</v>
      </c>
      <c r="I385">
        <v>1</v>
      </c>
    </row>
    <row r="386" spans="1:9">
      <c r="A386" t="s">
        <v>834</v>
      </c>
      <c r="B386" t="s">
        <v>919</v>
      </c>
      <c r="C386" t="s">
        <v>920</v>
      </c>
      <c r="D386">
        <v>4.0224719101123503</v>
      </c>
      <c r="E386">
        <v>89</v>
      </c>
      <c r="F386">
        <v>68</v>
      </c>
      <c r="G386">
        <v>6</v>
      </c>
      <c r="H386">
        <v>15</v>
      </c>
      <c r="I386">
        <v>1</v>
      </c>
    </row>
    <row r="387" spans="1:9">
      <c r="A387" t="s">
        <v>244</v>
      </c>
      <c r="B387" t="s">
        <v>1037</v>
      </c>
      <c r="C387" t="s">
        <v>959</v>
      </c>
      <c r="D387">
        <v>3.8604651162790602</v>
      </c>
      <c r="E387">
        <v>43</v>
      </c>
      <c r="F387">
        <v>32</v>
      </c>
      <c r="G387">
        <v>1</v>
      </c>
      <c r="H387">
        <v>10</v>
      </c>
      <c r="I387">
        <v>1</v>
      </c>
    </row>
    <row r="388" spans="1:9">
      <c r="A388" t="s">
        <v>755</v>
      </c>
      <c r="B388" t="s">
        <v>1018</v>
      </c>
      <c r="C388" t="s">
        <v>959</v>
      </c>
      <c r="D388">
        <v>3.9130434782608599</v>
      </c>
      <c r="E388">
        <v>23</v>
      </c>
      <c r="F388">
        <v>18</v>
      </c>
      <c r="G388">
        <v>0</v>
      </c>
      <c r="H388">
        <v>5</v>
      </c>
      <c r="I388">
        <v>1</v>
      </c>
    </row>
    <row r="389" spans="1:9">
      <c r="A389" t="s">
        <v>277</v>
      </c>
      <c r="B389" t="s">
        <v>938</v>
      </c>
      <c r="C389" t="s">
        <v>908</v>
      </c>
      <c r="D389">
        <v>4.375</v>
      </c>
      <c r="E389">
        <v>48</v>
      </c>
      <c r="F389">
        <v>42</v>
      </c>
      <c r="G389">
        <v>3</v>
      </c>
      <c r="H389">
        <v>3</v>
      </c>
      <c r="I389">
        <v>1</v>
      </c>
    </row>
    <row r="390" spans="1:9">
      <c r="A390" t="s">
        <v>378</v>
      </c>
      <c r="B390" t="s">
        <v>919</v>
      </c>
      <c r="C390" t="s">
        <v>920</v>
      </c>
      <c r="D390">
        <v>4.0357142857142803</v>
      </c>
      <c r="E390">
        <v>56</v>
      </c>
      <c r="F390">
        <v>46</v>
      </c>
      <c r="G390">
        <v>1</v>
      </c>
      <c r="H390">
        <v>9</v>
      </c>
      <c r="I390">
        <v>1</v>
      </c>
    </row>
    <row r="391" spans="1:9">
      <c r="A391" t="s">
        <v>363</v>
      </c>
      <c r="B391" t="s">
        <v>983</v>
      </c>
      <c r="C391" t="s">
        <v>908</v>
      </c>
      <c r="D391">
        <v>4.38582677165354</v>
      </c>
      <c r="E391">
        <v>127</v>
      </c>
      <c r="F391">
        <v>112</v>
      </c>
      <c r="G391">
        <v>6</v>
      </c>
      <c r="H391">
        <v>9</v>
      </c>
      <c r="I391">
        <v>1</v>
      </c>
    </row>
    <row r="392" spans="1:9">
      <c r="A392" t="s">
        <v>432</v>
      </c>
      <c r="B392" t="s">
        <v>912</v>
      </c>
      <c r="C392" t="s">
        <v>913</v>
      </c>
      <c r="D392">
        <v>4.44585987261146</v>
      </c>
      <c r="E392">
        <v>157</v>
      </c>
      <c r="F392">
        <v>136</v>
      </c>
      <c r="G392">
        <v>15</v>
      </c>
      <c r="H392">
        <v>6</v>
      </c>
      <c r="I392">
        <v>1</v>
      </c>
    </row>
    <row r="393" spans="1:9">
      <c r="A393" t="s">
        <v>603</v>
      </c>
      <c r="B393" t="s">
        <v>907</v>
      </c>
      <c r="C393" t="s">
        <v>908</v>
      </c>
      <c r="D393">
        <v>3.91379310344827</v>
      </c>
      <c r="E393">
        <v>174</v>
      </c>
      <c r="F393">
        <v>125</v>
      </c>
      <c r="G393">
        <v>20</v>
      </c>
      <c r="H393">
        <v>29</v>
      </c>
      <c r="I393">
        <v>1</v>
      </c>
    </row>
    <row r="394" spans="1:9">
      <c r="A394" t="s">
        <v>39</v>
      </c>
      <c r="B394" t="s">
        <v>1095</v>
      </c>
      <c r="C394" t="s">
        <v>908</v>
      </c>
      <c r="D394">
        <v>4.2794117647058796</v>
      </c>
      <c r="E394">
        <v>68</v>
      </c>
      <c r="F394">
        <v>56</v>
      </c>
      <c r="G394">
        <v>7</v>
      </c>
      <c r="H394">
        <v>5</v>
      </c>
      <c r="I394">
        <v>1</v>
      </c>
    </row>
    <row r="395" spans="1:9">
      <c r="A395" t="s">
        <v>775</v>
      </c>
      <c r="B395" t="s">
        <v>950</v>
      </c>
      <c r="C395" t="s">
        <v>920</v>
      </c>
      <c r="D395">
        <v>4.2608695652173898</v>
      </c>
      <c r="E395">
        <v>23</v>
      </c>
      <c r="F395">
        <v>19</v>
      </c>
      <c r="G395">
        <v>1</v>
      </c>
      <c r="H395">
        <v>3</v>
      </c>
      <c r="I395">
        <v>1</v>
      </c>
    </row>
    <row r="396" spans="1:9">
      <c r="A396" t="s">
        <v>446</v>
      </c>
      <c r="B396" t="s">
        <v>912</v>
      </c>
      <c r="C396" t="s">
        <v>913</v>
      </c>
      <c r="D396">
        <v>4.5178571428571397</v>
      </c>
      <c r="E396">
        <v>56</v>
      </c>
      <c r="F396">
        <v>49</v>
      </c>
      <c r="G396">
        <v>5</v>
      </c>
      <c r="H396">
        <v>2</v>
      </c>
      <c r="I396">
        <v>1</v>
      </c>
    </row>
    <row r="397" spans="1:9">
      <c r="A397" s="2" t="s">
        <v>830</v>
      </c>
      <c r="B397" t="s">
        <v>907</v>
      </c>
      <c r="C397" t="s">
        <v>908</v>
      </c>
      <c r="D397">
        <v>4.6071428571428497</v>
      </c>
      <c r="E397">
        <v>28</v>
      </c>
      <c r="F397">
        <v>26</v>
      </c>
      <c r="G397">
        <v>1</v>
      </c>
      <c r="H397">
        <v>1</v>
      </c>
      <c r="I397">
        <v>1</v>
      </c>
    </row>
    <row r="398" spans="1:9">
      <c r="A398" t="s">
        <v>661</v>
      </c>
      <c r="B398" t="s">
        <v>978</v>
      </c>
      <c r="C398" t="s">
        <v>908</v>
      </c>
      <c r="D398">
        <v>4.1333333333333302</v>
      </c>
      <c r="E398">
        <v>30</v>
      </c>
      <c r="F398">
        <v>23</v>
      </c>
      <c r="G398">
        <v>2</v>
      </c>
      <c r="H398">
        <v>5</v>
      </c>
      <c r="I398">
        <v>1</v>
      </c>
    </row>
    <row r="399" spans="1:9">
      <c r="A399" t="s">
        <v>169</v>
      </c>
      <c r="B399" t="s">
        <v>938</v>
      </c>
      <c r="C399" t="s">
        <v>908</v>
      </c>
      <c r="D399">
        <v>4.3607305936073004</v>
      </c>
      <c r="E399">
        <v>219</v>
      </c>
      <c r="F399">
        <v>184</v>
      </c>
      <c r="G399">
        <v>14</v>
      </c>
      <c r="H399">
        <v>21</v>
      </c>
      <c r="I399">
        <v>1</v>
      </c>
    </row>
    <row r="400" spans="1:9">
      <c r="A400" t="s">
        <v>843</v>
      </c>
      <c r="B400" t="s">
        <v>907</v>
      </c>
      <c r="C400" t="s">
        <v>908</v>
      </c>
      <c r="D400">
        <v>3.7307692307692299</v>
      </c>
      <c r="E400">
        <v>52</v>
      </c>
      <c r="F400">
        <v>38</v>
      </c>
      <c r="G400">
        <v>2</v>
      </c>
      <c r="H400">
        <v>12</v>
      </c>
      <c r="I400">
        <v>1</v>
      </c>
    </row>
    <row r="401" spans="1:9">
      <c r="A401" t="s">
        <v>883</v>
      </c>
      <c r="B401" t="s">
        <v>1096</v>
      </c>
      <c r="C401" t="s">
        <v>908</v>
      </c>
      <c r="D401">
        <v>4.0147058823529402</v>
      </c>
      <c r="E401">
        <v>68</v>
      </c>
      <c r="F401">
        <v>57</v>
      </c>
      <c r="G401">
        <v>2</v>
      </c>
      <c r="H401">
        <v>9</v>
      </c>
      <c r="I401">
        <v>1</v>
      </c>
    </row>
    <row r="402" spans="1:9">
      <c r="A402" t="s">
        <v>97</v>
      </c>
      <c r="B402" t="s">
        <v>907</v>
      </c>
      <c r="C402" t="s">
        <v>908</v>
      </c>
      <c r="D402">
        <v>3.5</v>
      </c>
      <c r="E402">
        <v>82</v>
      </c>
      <c r="F402">
        <v>52</v>
      </c>
      <c r="G402">
        <v>2</v>
      </c>
      <c r="H402">
        <v>28</v>
      </c>
      <c r="I402">
        <v>1</v>
      </c>
    </row>
    <row r="403" spans="1:9">
      <c r="A403" t="s">
        <v>183</v>
      </c>
      <c r="B403" t="s">
        <v>1097</v>
      </c>
      <c r="C403" t="s">
        <v>930</v>
      </c>
      <c r="D403">
        <v>4.2774193548386998</v>
      </c>
      <c r="E403">
        <v>155</v>
      </c>
      <c r="F403">
        <v>130</v>
      </c>
      <c r="G403">
        <v>13</v>
      </c>
      <c r="H403">
        <v>12</v>
      </c>
      <c r="I403">
        <v>1</v>
      </c>
    </row>
    <row r="404" spans="1:9">
      <c r="A404" t="s">
        <v>227</v>
      </c>
      <c r="B404" t="s">
        <v>1098</v>
      </c>
      <c r="C404" t="s">
        <v>908</v>
      </c>
      <c r="D404">
        <v>3.7657657657657602</v>
      </c>
      <c r="E404">
        <v>111</v>
      </c>
      <c r="F404">
        <v>75</v>
      </c>
      <c r="G404">
        <v>16</v>
      </c>
      <c r="H404">
        <v>20</v>
      </c>
      <c r="I404">
        <v>1</v>
      </c>
    </row>
    <row r="405" spans="1:9">
      <c r="A405" t="s">
        <v>110</v>
      </c>
      <c r="B405" t="s">
        <v>907</v>
      </c>
      <c r="C405" t="s">
        <v>908</v>
      </c>
      <c r="D405">
        <v>3.5288888888888801</v>
      </c>
      <c r="E405">
        <v>225</v>
      </c>
      <c r="F405">
        <v>139</v>
      </c>
      <c r="G405">
        <v>20</v>
      </c>
      <c r="H405">
        <v>66</v>
      </c>
      <c r="I405">
        <v>1</v>
      </c>
    </row>
    <row r="406" spans="1:9">
      <c r="A406" t="s">
        <v>337</v>
      </c>
      <c r="B406" t="s">
        <v>1099</v>
      </c>
      <c r="C406" t="s">
        <v>908</v>
      </c>
      <c r="D406">
        <v>4.5250000000000004</v>
      </c>
      <c r="E406">
        <v>80</v>
      </c>
      <c r="F406">
        <v>70</v>
      </c>
      <c r="G406">
        <v>9</v>
      </c>
      <c r="H406">
        <v>1</v>
      </c>
      <c r="I406">
        <v>1</v>
      </c>
    </row>
    <row r="407" spans="1:9">
      <c r="A407" t="s">
        <v>272</v>
      </c>
      <c r="B407" t="s">
        <v>1070</v>
      </c>
      <c r="C407" t="s">
        <v>908</v>
      </c>
      <c r="D407">
        <v>3.7699386503067398</v>
      </c>
      <c r="E407">
        <v>326</v>
      </c>
      <c r="F407">
        <v>215</v>
      </c>
      <c r="G407">
        <v>42</v>
      </c>
      <c r="H407">
        <v>69</v>
      </c>
      <c r="I407">
        <v>1</v>
      </c>
    </row>
    <row r="408" spans="1:9">
      <c r="A408" t="s">
        <v>596</v>
      </c>
      <c r="B408" t="s">
        <v>1037</v>
      </c>
      <c r="C408" t="s">
        <v>959</v>
      </c>
      <c r="D408">
        <v>4.2040816326530601</v>
      </c>
      <c r="E408">
        <v>98</v>
      </c>
      <c r="F408">
        <v>78</v>
      </c>
      <c r="G408">
        <v>2</v>
      </c>
      <c r="H408">
        <v>18</v>
      </c>
      <c r="I408">
        <v>1</v>
      </c>
    </row>
    <row r="409" spans="1:9">
      <c r="A409" t="s">
        <v>674</v>
      </c>
      <c r="B409" t="s">
        <v>1100</v>
      </c>
      <c r="C409" t="s">
        <v>908</v>
      </c>
      <c r="D409">
        <v>4.3539823008849501</v>
      </c>
      <c r="E409">
        <v>113</v>
      </c>
      <c r="F409">
        <v>96</v>
      </c>
      <c r="G409">
        <v>7</v>
      </c>
      <c r="H409">
        <v>10</v>
      </c>
      <c r="I409">
        <v>1</v>
      </c>
    </row>
    <row r="410" spans="1:9">
      <c r="A410" t="s">
        <v>17</v>
      </c>
      <c r="B410" t="s">
        <v>907</v>
      </c>
      <c r="C410" t="s">
        <v>908</v>
      </c>
      <c r="D410">
        <v>3.6842105263157801</v>
      </c>
      <c r="E410">
        <v>38</v>
      </c>
      <c r="F410">
        <v>25</v>
      </c>
      <c r="G410">
        <v>4</v>
      </c>
      <c r="H410">
        <v>9</v>
      </c>
      <c r="I410">
        <v>1</v>
      </c>
    </row>
    <row r="411" spans="1:9">
      <c r="A411" s="2" t="s">
        <v>104</v>
      </c>
      <c r="B411" t="s">
        <v>1101</v>
      </c>
      <c r="C411" t="s">
        <v>920</v>
      </c>
      <c r="D411">
        <v>3.3971631205673698</v>
      </c>
      <c r="E411">
        <v>141</v>
      </c>
      <c r="F411">
        <v>84</v>
      </c>
      <c r="G411">
        <v>12</v>
      </c>
      <c r="H411">
        <v>45</v>
      </c>
      <c r="I411">
        <v>1</v>
      </c>
    </row>
    <row r="412" spans="1:9">
      <c r="A412" t="s">
        <v>379</v>
      </c>
      <c r="B412" t="s">
        <v>1102</v>
      </c>
      <c r="C412" t="s">
        <v>930</v>
      </c>
      <c r="D412">
        <v>3.4597701149425202</v>
      </c>
      <c r="E412">
        <v>87</v>
      </c>
      <c r="F412">
        <v>48</v>
      </c>
      <c r="G412">
        <v>10</v>
      </c>
      <c r="H412">
        <v>29</v>
      </c>
      <c r="I412">
        <v>1</v>
      </c>
    </row>
    <row r="413" spans="1:9">
      <c r="A413" t="s">
        <v>102</v>
      </c>
      <c r="B413" t="s">
        <v>1103</v>
      </c>
      <c r="C413" t="s">
        <v>908</v>
      </c>
      <c r="D413">
        <v>4.0869565217391299</v>
      </c>
      <c r="E413">
        <v>23</v>
      </c>
      <c r="F413">
        <v>17</v>
      </c>
      <c r="G413">
        <v>2</v>
      </c>
      <c r="H413">
        <v>4</v>
      </c>
      <c r="I413">
        <v>1</v>
      </c>
    </row>
    <row r="414" spans="1:9">
      <c r="A414" t="s">
        <v>537</v>
      </c>
      <c r="B414" t="s">
        <v>1000</v>
      </c>
      <c r="C414" t="s">
        <v>908</v>
      </c>
      <c r="D414">
        <v>4.0421686746987904</v>
      </c>
      <c r="E414">
        <v>332</v>
      </c>
      <c r="F414">
        <v>257</v>
      </c>
      <c r="G414">
        <v>28</v>
      </c>
      <c r="H414">
        <v>47</v>
      </c>
      <c r="I414">
        <v>1</v>
      </c>
    </row>
    <row r="415" spans="1:9">
      <c r="A415" s="2" t="s">
        <v>644</v>
      </c>
      <c r="B415" t="s">
        <v>1104</v>
      </c>
      <c r="C415" t="s">
        <v>908</v>
      </c>
      <c r="D415">
        <v>4.46875</v>
      </c>
      <c r="E415">
        <v>64</v>
      </c>
      <c r="F415">
        <v>57</v>
      </c>
      <c r="G415">
        <v>3</v>
      </c>
      <c r="H415">
        <v>4</v>
      </c>
      <c r="I415">
        <v>1</v>
      </c>
    </row>
    <row r="416" spans="1:9">
      <c r="A416" t="s">
        <v>167</v>
      </c>
      <c r="B416" t="s">
        <v>1102</v>
      </c>
      <c r="C416" t="s">
        <v>930</v>
      </c>
      <c r="D416">
        <v>4.0322580645161201</v>
      </c>
      <c r="E416">
        <v>217</v>
      </c>
      <c r="F416">
        <v>162</v>
      </c>
      <c r="G416">
        <v>22</v>
      </c>
      <c r="H416">
        <v>33</v>
      </c>
      <c r="I416">
        <v>1</v>
      </c>
    </row>
    <row r="417" spans="1:9">
      <c r="A417" t="s">
        <v>730</v>
      </c>
      <c r="B417" t="s">
        <v>914</v>
      </c>
      <c r="C417" t="s">
        <v>908</v>
      </c>
      <c r="D417">
        <v>4.3333333333333304</v>
      </c>
      <c r="E417">
        <v>45</v>
      </c>
      <c r="F417">
        <v>37</v>
      </c>
      <c r="G417">
        <v>2</v>
      </c>
      <c r="H417">
        <v>6</v>
      </c>
      <c r="I417">
        <v>1</v>
      </c>
    </row>
    <row r="418" spans="1:9">
      <c r="A418" t="s">
        <v>726</v>
      </c>
      <c r="B418" t="s">
        <v>949</v>
      </c>
      <c r="C418" t="s">
        <v>908</v>
      </c>
      <c r="D418">
        <v>3.8333333333333299</v>
      </c>
      <c r="E418">
        <v>54</v>
      </c>
      <c r="F418">
        <v>38</v>
      </c>
      <c r="G418">
        <v>5</v>
      </c>
      <c r="H418">
        <v>11</v>
      </c>
      <c r="I418">
        <v>1</v>
      </c>
    </row>
    <row r="419" spans="1:9">
      <c r="A419" t="s">
        <v>677</v>
      </c>
      <c r="B419" t="s">
        <v>907</v>
      </c>
      <c r="C419" t="s">
        <v>908</v>
      </c>
      <c r="D419">
        <v>4.5384615384615303</v>
      </c>
      <c r="E419">
        <v>91</v>
      </c>
      <c r="F419">
        <v>83</v>
      </c>
      <c r="G419">
        <v>6</v>
      </c>
      <c r="H419">
        <v>2</v>
      </c>
      <c r="I419">
        <v>1</v>
      </c>
    </row>
    <row r="420" spans="1:9">
      <c r="A420" t="s">
        <v>148</v>
      </c>
      <c r="B420" t="s">
        <v>1105</v>
      </c>
      <c r="C420" t="s">
        <v>913</v>
      </c>
      <c r="D420">
        <v>4.4210526315789398</v>
      </c>
      <c r="E420">
        <v>361</v>
      </c>
      <c r="F420">
        <v>310</v>
      </c>
      <c r="G420">
        <v>25</v>
      </c>
      <c r="H420">
        <v>26</v>
      </c>
      <c r="I420">
        <v>1</v>
      </c>
    </row>
    <row r="421" spans="1:9">
      <c r="A421" t="s">
        <v>360</v>
      </c>
      <c r="B421" t="s">
        <v>1106</v>
      </c>
      <c r="C421" t="s">
        <v>908</v>
      </c>
      <c r="D421">
        <v>4.5245901639344197</v>
      </c>
      <c r="E421">
        <v>61</v>
      </c>
      <c r="F421">
        <v>54</v>
      </c>
      <c r="G421">
        <v>3</v>
      </c>
      <c r="H421">
        <v>4</v>
      </c>
      <c r="I421">
        <v>1</v>
      </c>
    </row>
    <row r="422" spans="1:9">
      <c r="A422" t="s">
        <v>672</v>
      </c>
      <c r="B422" t="s">
        <v>1001</v>
      </c>
      <c r="C422" t="s">
        <v>908</v>
      </c>
      <c r="D422">
        <v>4.2894736842105203</v>
      </c>
      <c r="E422">
        <v>114</v>
      </c>
      <c r="F422">
        <v>92</v>
      </c>
      <c r="G422">
        <v>11</v>
      </c>
      <c r="H422">
        <v>11</v>
      </c>
      <c r="I422">
        <v>1</v>
      </c>
    </row>
    <row r="423" spans="1:9">
      <c r="A423" t="s">
        <v>875</v>
      </c>
      <c r="B423" t="s">
        <v>938</v>
      </c>
      <c r="C423" t="s">
        <v>908</v>
      </c>
      <c r="D423">
        <v>4.1290322580645098</v>
      </c>
      <c r="E423">
        <v>31</v>
      </c>
      <c r="F423">
        <v>24</v>
      </c>
      <c r="G423">
        <v>3</v>
      </c>
      <c r="H423">
        <v>4</v>
      </c>
      <c r="I423">
        <v>1</v>
      </c>
    </row>
    <row r="424" spans="1:9">
      <c r="A424" t="s">
        <v>498</v>
      </c>
      <c r="B424" t="s">
        <v>1107</v>
      </c>
      <c r="C424" t="s">
        <v>908</v>
      </c>
      <c r="D424">
        <v>4.4230769230769198</v>
      </c>
      <c r="E424">
        <v>26</v>
      </c>
      <c r="F424">
        <v>24</v>
      </c>
      <c r="G424">
        <v>0</v>
      </c>
      <c r="H424">
        <v>2</v>
      </c>
      <c r="I424">
        <v>1</v>
      </c>
    </row>
    <row r="425" spans="1:9">
      <c r="A425" t="s">
        <v>130</v>
      </c>
      <c r="B425" t="s">
        <v>919</v>
      </c>
      <c r="C425" t="s">
        <v>920</v>
      </c>
      <c r="D425">
        <v>4.05</v>
      </c>
      <c r="E425">
        <v>40</v>
      </c>
      <c r="F425">
        <v>29</v>
      </c>
      <c r="G425">
        <v>4</v>
      </c>
      <c r="H425">
        <v>7</v>
      </c>
      <c r="I425">
        <v>1</v>
      </c>
    </row>
    <row r="426" spans="1:9">
      <c r="A426" t="s">
        <v>292</v>
      </c>
      <c r="B426" t="s">
        <v>1046</v>
      </c>
      <c r="C426" t="s">
        <v>920</v>
      </c>
      <c r="D426">
        <v>4.5476190476190403</v>
      </c>
      <c r="E426">
        <v>84</v>
      </c>
      <c r="F426">
        <v>75</v>
      </c>
      <c r="G426">
        <v>6</v>
      </c>
      <c r="H426">
        <v>3</v>
      </c>
      <c r="I426">
        <v>1</v>
      </c>
    </row>
    <row r="427" spans="1:9">
      <c r="A427" t="s">
        <v>518</v>
      </c>
      <c r="B427" t="s">
        <v>1039</v>
      </c>
      <c r="C427" t="s">
        <v>1040</v>
      </c>
      <c r="D427">
        <v>4.2807017543859596</v>
      </c>
      <c r="E427">
        <v>57</v>
      </c>
      <c r="F427">
        <v>48</v>
      </c>
      <c r="G427">
        <v>3</v>
      </c>
      <c r="H427">
        <v>6</v>
      </c>
      <c r="I427">
        <v>1</v>
      </c>
    </row>
    <row r="428" spans="1:9">
      <c r="A428" t="s">
        <v>356</v>
      </c>
      <c r="B428" t="s">
        <v>967</v>
      </c>
      <c r="C428" t="s">
        <v>908</v>
      </c>
      <c r="D428">
        <v>3.5492957746478799</v>
      </c>
      <c r="E428">
        <v>71</v>
      </c>
      <c r="F428">
        <v>41</v>
      </c>
      <c r="G428">
        <v>8</v>
      </c>
      <c r="H428">
        <v>22</v>
      </c>
      <c r="I428">
        <v>1</v>
      </c>
    </row>
    <row r="429" spans="1:9">
      <c r="A429" t="s">
        <v>893</v>
      </c>
      <c r="B429" t="s">
        <v>1108</v>
      </c>
      <c r="C429" t="s">
        <v>1064</v>
      </c>
      <c r="D429">
        <v>3.8194444444444402</v>
      </c>
      <c r="E429">
        <v>72</v>
      </c>
      <c r="F429">
        <v>52</v>
      </c>
      <c r="G429">
        <v>3</v>
      </c>
      <c r="H429">
        <v>17</v>
      </c>
      <c r="I429">
        <v>1</v>
      </c>
    </row>
    <row r="430" spans="1:9">
      <c r="A430" t="s">
        <v>143</v>
      </c>
      <c r="B430" t="s">
        <v>1039</v>
      </c>
      <c r="C430" t="s">
        <v>1040</v>
      </c>
      <c r="D430">
        <v>4.4047619047618998</v>
      </c>
      <c r="E430">
        <v>42</v>
      </c>
      <c r="F430">
        <v>38</v>
      </c>
      <c r="G430">
        <v>0</v>
      </c>
      <c r="H430">
        <v>4</v>
      </c>
      <c r="I430">
        <v>1</v>
      </c>
    </row>
    <row r="431" spans="1:9">
      <c r="A431" t="s">
        <v>874</v>
      </c>
      <c r="B431" t="s">
        <v>938</v>
      </c>
      <c r="C431" t="s">
        <v>908</v>
      </c>
      <c r="D431">
        <v>4.1315789473684204</v>
      </c>
      <c r="E431">
        <v>76</v>
      </c>
      <c r="F431">
        <v>62</v>
      </c>
      <c r="G431">
        <v>2</v>
      </c>
      <c r="H431">
        <v>12</v>
      </c>
      <c r="I431">
        <v>1</v>
      </c>
    </row>
    <row r="432" spans="1:9">
      <c r="A432" t="s">
        <v>300</v>
      </c>
      <c r="B432" t="s">
        <v>907</v>
      </c>
      <c r="C432" t="s">
        <v>908</v>
      </c>
      <c r="D432">
        <v>4.0822784810126498</v>
      </c>
      <c r="E432">
        <v>158</v>
      </c>
      <c r="F432">
        <v>123</v>
      </c>
      <c r="G432">
        <v>11</v>
      </c>
      <c r="H432">
        <v>24</v>
      </c>
      <c r="I432">
        <v>1</v>
      </c>
    </row>
    <row r="433" spans="1:9">
      <c r="A433" t="s">
        <v>869</v>
      </c>
      <c r="B433" t="s">
        <v>919</v>
      </c>
      <c r="C433" t="s">
        <v>920</v>
      </c>
      <c r="D433">
        <v>4.1285714285714201</v>
      </c>
      <c r="E433">
        <v>70</v>
      </c>
      <c r="F433">
        <v>54</v>
      </c>
      <c r="G433">
        <v>4</v>
      </c>
      <c r="H433">
        <v>12</v>
      </c>
      <c r="I433">
        <v>1</v>
      </c>
    </row>
    <row r="434" spans="1:9">
      <c r="A434" t="s">
        <v>233</v>
      </c>
      <c r="B434" t="s">
        <v>970</v>
      </c>
      <c r="C434" t="s">
        <v>908</v>
      </c>
      <c r="D434">
        <v>4.2222222222222197</v>
      </c>
      <c r="E434">
        <v>144</v>
      </c>
      <c r="F434">
        <v>116</v>
      </c>
      <c r="G434">
        <v>12</v>
      </c>
      <c r="H434">
        <v>16</v>
      </c>
      <c r="I434">
        <v>1</v>
      </c>
    </row>
    <row r="435" spans="1:9">
      <c r="A435" s="2" t="s">
        <v>491</v>
      </c>
      <c r="B435" t="s">
        <v>919</v>
      </c>
      <c r="C435" t="s">
        <v>920</v>
      </c>
      <c r="D435">
        <v>4.0538461538461501</v>
      </c>
      <c r="E435">
        <v>390</v>
      </c>
      <c r="F435">
        <v>300</v>
      </c>
      <c r="G435">
        <v>22</v>
      </c>
      <c r="H435">
        <v>68</v>
      </c>
      <c r="I435">
        <v>1</v>
      </c>
    </row>
    <row r="436" spans="1:9">
      <c r="A436" t="s">
        <v>886</v>
      </c>
      <c r="B436" t="s">
        <v>1109</v>
      </c>
      <c r="C436" t="s">
        <v>908</v>
      </c>
      <c r="D436">
        <v>4.4230769230769198</v>
      </c>
      <c r="E436">
        <v>26</v>
      </c>
      <c r="F436">
        <v>22</v>
      </c>
      <c r="G436">
        <v>2</v>
      </c>
      <c r="H436">
        <v>2</v>
      </c>
      <c r="I436">
        <v>1</v>
      </c>
    </row>
    <row r="437" spans="1:9">
      <c r="A437" t="s">
        <v>64</v>
      </c>
      <c r="B437" t="s">
        <v>907</v>
      </c>
      <c r="C437" t="s">
        <v>908</v>
      </c>
      <c r="D437">
        <v>3.64</v>
      </c>
      <c r="E437">
        <v>25</v>
      </c>
      <c r="F437">
        <v>18</v>
      </c>
      <c r="G437">
        <v>0</v>
      </c>
      <c r="H437">
        <v>7</v>
      </c>
      <c r="I437">
        <v>1</v>
      </c>
    </row>
    <row r="438" spans="1:9">
      <c r="A438" t="s">
        <v>399</v>
      </c>
      <c r="B438" t="s">
        <v>969</v>
      </c>
      <c r="C438" t="s">
        <v>908</v>
      </c>
      <c r="D438">
        <v>4.3333333333333304</v>
      </c>
      <c r="E438">
        <v>39</v>
      </c>
      <c r="F438">
        <v>33</v>
      </c>
      <c r="G438">
        <v>2</v>
      </c>
      <c r="H438">
        <v>4</v>
      </c>
      <c r="I438">
        <v>1</v>
      </c>
    </row>
    <row r="439" spans="1:9">
      <c r="A439" t="s">
        <v>264</v>
      </c>
      <c r="B439" t="s">
        <v>1037</v>
      </c>
      <c r="C439" t="s">
        <v>959</v>
      </c>
      <c r="D439">
        <v>4.4444444444444402</v>
      </c>
      <c r="E439">
        <v>27</v>
      </c>
      <c r="F439">
        <v>24</v>
      </c>
      <c r="G439">
        <v>0</v>
      </c>
      <c r="H439">
        <v>3</v>
      </c>
      <c r="I439">
        <v>1</v>
      </c>
    </row>
    <row r="440" spans="1:9">
      <c r="A440" t="s">
        <v>486</v>
      </c>
      <c r="B440" t="s">
        <v>1071</v>
      </c>
      <c r="C440" t="s">
        <v>920</v>
      </c>
      <c r="D440">
        <v>4.0068965517241297</v>
      </c>
      <c r="E440">
        <v>145</v>
      </c>
      <c r="F440">
        <v>110</v>
      </c>
      <c r="G440">
        <v>14</v>
      </c>
      <c r="H440">
        <v>21</v>
      </c>
      <c r="I440">
        <v>1</v>
      </c>
    </row>
    <row r="441" spans="1:9">
      <c r="A441" t="s">
        <v>760</v>
      </c>
      <c r="B441" t="s">
        <v>1107</v>
      </c>
      <c r="C441" t="s">
        <v>908</v>
      </c>
      <c r="D441">
        <v>4.6956521739130404</v>
      </c>
      <c r="E441">
        <v>23</v>
      </c>
      <c r="F441">
        <v>21</v>
      </c>
      <c r="G441">
        <v>2</v>
      </c>
      <c r="H441">
        <v>0</v>
      </c>
      <c r="I441">
        <v>1</v>
      </c>
    </row>
    <row r="442" spans="1:9">
      <c r="A442" t="s">
        <v>641</v>
      </c>
      <c r="B442" t="s">
        <v>997</v>
      </c>
      <c r="C442" t="s">
        <v>913</v>
      </c>
      <c r="D442">
        <v>3.57746478873239</v>
      </c>
      <c r="E442">
        <v>71</v>
      </c>
      <c r="F442">
        <v>44</v>
      </c>
      <c r="G442">
        <v>8</v>
      </c>
      <c r="H442">
        <v>19</v>
      </c>
      <c r="I442">
        <v>1</v>
      </c>
    </row>
    <row r="443" spans="1:9">
      <c r="A443" t="s">
        <v>483</v>
      </c>
      <c r="B443" t="s">
        <v>907</v>
      </c>
      <c r="C443" t="s">
        <v>908</v>
      </c>
      <c r="D443">
        <v>4.2349914236706603</v>
      </c>
      <c r="E443">
        <v>1166</v>
      </c>
      <c r="F443">
        <v>940</v>
      </c>
      <c r="G443">
        <v>99</v>
      </c>
      <c r="H443">
        <v>127</v>
      </c>
      <c r="I443">
        <v>1</v>
      </c>
    </row>
    <row r="444" spans="1:9">
      <c r="A444" t="s">
        <v>385</v>
      </c>
      <c r="B444" t="s">
        <v>1110</v>
      </c>
      <c r="C444" t="s">
        <v>908</v>
      </c>
      <c r="D444">
        <v>4.0546218487394903</v>
      </c>
      <c r="E444">
        <v>238</v>
      </c>
      <c r="F444">
        <v>184</v>
      </c>
      <c r="G444">
        <v>15</v>
      </c>
      <c r="H444">
        <v>39</v>
      </c>
      <c r="I444">
        <v>1</v>
      </c>
    </row>
    <row r="445" spans="1:9">
      <c r="A445" t="s">
        <v>673</v>
      </c>
      <c r="B445" t="s">
        <v>911</v>
      </c>
      <c r="C445" t="s">
        <v>908</v>
      </c>
      <c r="D445">
        <v>3.7679558011049701</v>
      </c>
      <c r="E445">
        <v>181</v>
      </c>
      <c r="F445">
        <v>116</v>
      </c>
      <c r="G445">
        <v>27</v>
      </c>
      <c r="H445">
        <v>38</v>
      </c>
      <c r="I445">
        <v>1</v>
      </c>
    </row>
    <row r="446" spans="1:9">
      <c r="A446" t="s">
        <v>174</v>
      </c>
      <c r="B446" t="s">
        <v>1111</v>
      </c>
      <c r="C446" t="s">
        <v>908</v>
      </c>
      <c r="D446">
        <v>4.7777777777777697</v>
      </c>
      <c r="E446">
        <v>27</v>
      </c>
      <c r="F446">
        <v>25</v>
      </c>
      <c r="G446">
        <v>2</v>
      </c>
      <c r="H446">
        <v>0</v>
      </c>
      <c r="I446">
        <v>1</v>
      </c>
    </row>
    <row r="447" spans="1:9">
      <c r="A447" t="s">
        <v>606</v>
      </c>
      <c r="B447" t="s">
        <v>907</v>
      </c>
      <c r="C447" t="s">
        <v>908</v>
      </c>
      <c r="D447">
        <v>4.33673469387755</v>
      </c>
      <c r="E447">
        <v>98</v>
      </c>
      <c r="F447">
        <v>81</v>
      </c>
      <c r="G447">
        <v>5</v>
      </c>
      <c r="H447">
        <v>12</v>
      </c>
      <c r="I447">
        <v>1</v>
      </c>
    </row>
    <row r="448" spans="1:9">
      <c r="A448" t="s">
        <v>384</v>
      </c>
      <c r="B448" t="s">
        <v>1112</v>
      </c>
      <c r="C448" t="s">
        <v>908</v>
      </c>
      <c r="D448">
        <v>4.38709677419354</v>
      </c>
      <c r="E448">
        <v>31</v>
      </c>
      <c r="F448">
        <v>27</v>
      </c>
      <c r="G448">
        <v>2</v>
      </c>
      <c r="H448">
        <v>2</v>
      </c>
      <c r="I448">
        <v>1</v>
      </c>
    </row>
    <row r="449" spans="1:9">
      <c r="A449" t="s">
        <v>92</v>
      </c>
      <c r="B449" t="s">
        <v>932</v>
      </c>
      <c r="C449" t="s">
        <v>908</v>
      </c>
      <c r="D449">
        <v>4.4545454545454497</v>
      </c>
      <c r="E449">
        <v>22</v>
      </c>
      <c r="F449">
        <v>19</v>
      </c>
      <c r="G449">
        <v>1</v>
      </c>
      <c r="H449">
        <v>2</v>
      </c>
      <c r="I449">
        <v>1</v>
      </c>
    </row>
    <row r="450" spans="1:9">
      <c r="A450" t="s">
        <v>836</v>
      </c>
      <c r="B450" t="s">
        <v>907</v>
      </c>
      <c r="C450" t="s">
        <v>908</v>
      </c>
      <c r="D450">
        <v>4.4166666666666599</v>
      </c>
      <c r="E450">
        <v>24</v>
      </c>
      <c r="F450">
        <v>21</v>
      </c>
      <c r="G450">
        <v>0</v>
      </c>
      <c r="H450">
        <v>3</v>
      </c>
      <c r="I450">
        <v>1</v>
      </c>
    </row>
    <row r="451" spans="1:9">
      <c r="A451" t="s">
        <v>57</v>
      </c>
      <c r="B451" t="s">
        <v>921</v>
      </c>
      <c r="C451" t="s">
        <v>908</v>
      </c>
      <c r="D451">
        <v>3.3482077542062898</v>
      </c>
      <c r="E451">
        <v>1367</v>
      </c>
      <c r="F451">
        <v>764</v>
      </c>
      <c r="G451">
        <v>201</v>
      </c>
      <c r="H451">
        <v>402</v>
      </c>
      <c r="I451">
        <v>1</v>
      </c>
    </row>
    <row r="452" spans="1:9">
      <c r="A452" t="s">
        <v>826</v>
      </c>
      <c r="B452" t="s">
        <v>941</v>
      </c>
      <c r="C452" t="s">
        <v>908</v>
      </c>
      <c r="D452">
        <v>4.0017421602787397</v>
      </c>
      <c r="E452">
        <v>574</v>
      </c>
      <c r="F452">
        <v>432</v>
      </c>
      <c r="G452">
        <v>39</v>
      </c>
      <c r="H452">
        <v>103</v>
      </c>
      <c r="I452">
        <v>1</v>
      </c>
    </row>
    <row r="453" spans="1:9">
      <c r="A453" t="s">
        <v>754</v>
      </c>
      <c r="B453" t="s">
        <v>1019</v>
      </c>
      <c r="C453" t="s">
        <v>908</v>
      </c>
      <c r="D453">
        <v>4.2903225806451601</v>
      </c>
      <c r="E453">
        <v>93</v>
      </c>
      <c r="F453">
        <v>81</v>
      </c>
      <c r="G453">
        <v>3</v>
      </c>
      <c r="H453">
        <v>9</v>
      </c>
      <c r="I453">
        <v>1</v>
      </c>
    </row>
    <row r="454" spans="1:9">
      <c r="A454" t="s">
        <v>504</v>
      </c>
      <c r="B454" t="s">
        <v>907</v>
      </c>
      <c r="C454" t="s">
        <v>908</v>
      </c>
      <c r="D454">
        <v>3.9297297297297198</v>
      </c>
      <c r="E454">
        <v>185</v>
      </c>
      <c r="F454">
        <v>132</v>
      </c>
      <c r="G454">
        <v>24</v>
      </c>
      <c r="H454">
        <v>29</v>
      </c>
      <c r="I454">
        <v>1</v>
      </c>
    </row>
    <row r="455" spans="1:9">
      <c r="A455" t="s">
        <v>663</v>
      </c>
      <c r="B455" t="s">
        <v>907</v>
      </c>
      <c r="C455" t="s">
        <v>908</v>
      </c>
      <c r="D455">
        <v>4.26</v>
      </c>
      <c r="E455">
        <v>50</v>
      </c>
      <c r="F455">
        <v>42</v>
      </c>
      <c r="G455">
        <v>2</v>
      </c>
      <c r="H455">
        <v>6</v>
      </c>
      <c r="I455">
        <v>1</v>
      </c>
    </row>
    <row r="456" spans="1:9">
      <c r="A456" t="s">
        <v>431</v>
      </c>
      <c r="B456" t="s">
        <v>907</v>
      </c>
      <c r="C456" t="s">
        <v>908</v>
      </c>
      <c r="D456">
        <v>3.9032258064516099</v>
      </c>
      <c r="E456">
        <v>341</v>
      </c>
      <c r="F456">
        <v>241</v>
      </c>
      <c r="G456">
        <v>37</v>
      </c>
      <c r="H456">
        <v>63</v>
      </c>
      <c r="I456">
        <v>1</v>
      </c>
    </row>
    <row r="457" spans="1:9">
      <c r="A457" t="s">
        <v>703</v>
      </c>
      <c r="B457" t="s">
        <v>949</v>
      </c>
      <c r="C457" t="s">
        <v>908</v>
      </c>
      <c r="D457">
        <v>4.1337209302325499</v>
      </c>
      <c r="E457">
        <v>172</v>
      </c>
      <c r="F457">
        <v>134</v>
      </c>
      <c r="G457">
        <v>17</v>
      </c>
      <c r="H457">
        <v>21</v>
      </c>
      <c r="I457">
        <v>1</v>
      </c>
    </row>
    <row r="458" spans="1:9">
      <c r="A458" t="s">
        <v>243</v>
      </c>
      <c r="B458" t="s">
        <v>912</v>
      </c>
      <c r="C458" t="s">
        <v>913</v>
      </c>
      <c r="D458">
        <v>4.4074074074074003</v>
      </c>
      <c r="E458">
        <v>27</v>
      </c>
      <c r="F458">
        <v>24</v>
      </c>
      <c r="G458">
        <v>2</v>
      </c>
      <c r="H458">
        <v>1</v>
      </c>
      <c r="I458">
        <v>1</v>
      </c>
    </row>
    <row r="459" spans="1:9">
      <c r="A459" t="s">
        <v>508</v>
      </c>
      <c r="B459" t="s">
        <v>907</v>
      </c>
      <c r="C459" t="s">
        <v>908</v>
      </c>
      <c r="D459">
        <v>4.1276595744680797</v>
      </c>
      <c r="E459">
        <v>94</v>
      </c>
      <c r="F459">
        <v>73</v>
      </c>
      <c r="G459">
        <v>10</v>
      </c>
      <c r="H459">
        <v>11</v>
      </c>
      <c r="I459">
        <v>1</v>
      </c>
    </row>
    <row r="460" spans="1:9">
      <c r="A460" t="s">
        <v>898</v>
      </c>
      <c r="B460" t="s">
        <v>1113</v>
      </c>
      <c r="C460" t="s">
        <v>908</v>
      </c>
      <c r="D460">
        <v>4.2064896755162202</v>
      </c>
      <c r="E460">
        <v>339</v>
      </c>
      <c r="F460">
        <v>272</v>
      </c>
      <c r="G460">
        <v>26</v>
      </c>
      <c r="H460">
        <v>41</v>
      </c>
      <c r="I460">
        <v>1</v>
      </c>
    </row>
    <row r="461" spans="1:9">
      <c r="A461" t="s">
        <v>599</v>
      </c>
      <c r="B461" t="s">
        <v>912</v>
      </c>
      <c r="C461" t="s">
        <v>913</v>
      </c>
      <c r="D461">
        <v>4.0776699029126204</v>
      </c>
      <c r="E461">
        <v>103</v>
      </c>
      <c r="F461">
        <v>81</v>
      </c>
      <c r="G461">
        <v>9</v>
      </c>
      <c r="H461">
        <v>13</v>
      </c>
      <c r="I461">
        <v>1</v>
      </c>
    </row>
    <row r="462" spans="1:9">
      <c r="A462" t="s">
        <v>807</v>
      </c>
      <c r="B462" t="s">
        <v>1053</v>
      </c>
      <c r="C462" t="s">
        <v>1045</v>
      </c>
      <c r="D462">
        <v>4.4827586206896504</v>
      </c>
      <c r="E462">
        <v>29</v>
      </c>
      <c r="F462">
        <v>26</v>
      </c>
      <c r="G462">
        <v>1</v>
      </c>
      <c r="H462">
        <v>2</v>
      </c>
      <c r="I462">
        <v>1</v>
      </c>
    </row>
    <row r="463" spans="1:9">
      <c r="A463" t="s">
        <v>60</v>
      </c>
      <c r="B463" t="s">
        <v>1114</v>
      </c>
      <c r="C463" t="s">
        <v>930</v>
      </c>
      <c r="D463">
        <v>3.8</v>
      </c>
      <c r="E463">
        <v>20</v>
      </c>
      <c r="F463">
        <v>13</v>
      </c>
      <c r="G463">
        <v>2</v>
      </c>
      <c r="H463">
        <v>5</v>
      </c>
      <c r="I463">
        <v>1</v>
      </c>
    </row>
    <row r="464" spans="1:9">
      <c r="A464" s="2" t="s">
        <v>727</v>
      </c>
      <c r="B464" t="s">
        <v>907</v>
      </c>
      <c r="C464" t="s">
        <v>908</v>
      </c>
      <c r="D464">
        <v>3.8695652173913002</v>
      </c>
      <c r="E464">
        <v>23</v>
      </c>
      <c r="F464">
        <v>16</v>
      </c>
      <c r="G464">
        <v>4</v>
      </c>
      <c r="H464">
        <v>3</v>
      </c>
      <c r="I464">
        <v>1</v>
      </c>
    </row>
    <row r="465" spans="1:9">
      <c r="A465" t="s">
        <v>482</v>
      </c>
      <c r="B465" t="s">
        <v>1115</v>
      </c>
      <c r="C465" t="s">
        <v>908</v>
      </c>
      <c r="D465">
        <v>4.5581395348837201</v>
      </c>
      <c r="E465">
        <v>43</v>
      </c>
      <c r="F465">
        <v>40</v>
      </c>
      <c r="G465">
        <v>0</v>
      </c>
      <c r="H465">
        <v>3</v>
      </c>
      <c r="I465">
        <v>1</v>
      </c>
    </row>
    <row r="466" spans="1:9">
      <c r="A466" t="s">
        <v>474</v>
      </c>
      <c r="B466" t="s">
        <v>907</v>
      </c>
      <c r="C466" t="s">
        <v>908</v>
      </c>
      <c r="D466">
        <v>4.4285714285714199</v>
      </c>
      <c r="E466">
        <v>21</v>
      </c>
      <c r="F466">
        <v>19</v>
      </c>
      <c r="G466">
        <v>0</v>
      </c>
      <c r="H466">
        <v>2</v>
      </c>
      <c r="I466">
        <v>1</v>
      </c>
    </row>
    <row r="467" spans="1:9">
      <c r="A467" t="s">
        <v>113</v>
      </c>
      <c r="B467" t="s">
        <v>963</v>
      </c>
      <c r="C467" t="s">
        <v>908</v>
      </c>
      <c r="D467">
        <v>4.1923076923076898</v>
      </c>
      <c r="E467">
        <v>26</v>
      </c>
      <c r="F467">
        <v>20</v>
      </c>
      <c r="G467">
        <v>3</v>
      </c>
      <c r="H467">
        <v>3</v>
      </c>
      <c r="I467">
        <v>1</v>
      </c>
    </row>
    <row r="468" spans="1:9">
      <c r="A468" s="2" t="s">
        <v>178</v>
      </c>
      <c r="B468" t="s">
        <v>1084</v>
      </c>
      <c r="C468" t="s">
        <v>920</v>
      </c>
      <c r="D468">
        <v>4.2929292929292897</v>
      </c>
      <c r="E468">
        <v>99</v>
      </c>
      <c r="F468">
        <v>85</v>
      </c>
      <c r="G468">
        <v>4</v>
      </c>
      <c r="H468">
        <v>10</v>
      </c>
      <c r="I468">
        <v>1</v>
      </c>
    </row>
    <row r="469" spans="1:9">
      <c r="A469" t="s">
        <v>124</v>
      </c>
      <c r="B469" t="s">
        <v>1116</v>
      </c>
      <c r="C469" t="s">
        <v>908</v>
      </c>
      <c r="D469">
        <v>4</v>
      </c>
      <c r="E469">
        <v>198</v>
      </c>
      <c r="F469">
        <v>143</v>
      </c>
      <c r="G469">
        <v>22</v>
      </c>
      <c r="H469">
        <v>33</v>
      </c>
      <c r="I469">
        <v>1</v>
      </c>
    </row>
    <row r="470" spans="1:9">
      <c r="A470" t="s">
        <v>867</v>
      </c>
      <c r="B470" t="s">
        <v>911</v>
      </c>
      <c r="C470" t="s">
        <v>908</v>
      </c>
      <c r="D470">
        <v>3.8391608391608298</v>
      </c>
      <c r="E470">
        <v>429</v>
      </c>
      <c r="F470">
        <v>309</v>
      </c>
      <c r="G470">
        <v>34</v>
      </c>
      <c r="H470">
        <v>86</v>
      </c>
      <c r="I470">
        <v>1</v>
      </c>
    </row>
    <row r="471" spans="1:9">
      <c r="A471" t="s">
        <v>312</v>
      </c>
      <c r="B471" t="s">
        <v>1111</v>
      </c>
      <c r="C471" t="s">
        <v>908</v>
      </c>
      <c r="D471">
        <v>4.07317073170731</v>
      </c>
      <c r="E471">
        <v>41</v>
      </c>
      <c r="F471">
        <v>33</v>
      </c>
      <c r="G471">
        <v>4</v>
      </c>
      <c r="H471">
        <v>4</v>
      </c>
      <c r="I471">
        <v>1</v>
      </c>
    </row>
    <row r="472" spans="1:9">
      <c r="A472" t="s">
        <v>860</v>
      </c>
      <c r="B472" t="s">
        <v>1117</v>
      </c>
      <c r="C472" t="s">
        <v>920</v>
      </c>
      <c r="D472">
        <v>4.2676056338028099</v>
      </c>
      <c r="E472">
        <v>71</v>
      </c>
      <c r="F472">
        <v>58</v>
      </c>
      <c r="G472">
        <v>7</v>
      </c>
      <c r="H472">
        <v>6</v>
      </c>
      <c r="I472">
        <v>1</v>
      </c>
    </row>
    <row r="473" spans="1:9">
      <c r="A473" t="s">
        <v>328</v>
      </c>
      <c r="B473" t="s">
        <v>983</v>
      </c>
      <c r="C473" t="s">
        <v>908</v>
      </c>
      <c r="D473">
        <v>3.5384615384615299</v>
      </c>
      <c r="E473">
        <v>52</v>
      </c>
      <c r="F473">
        <v>36</v>
      </c>
      <c r="G473">
        <v>3</v>
      </c>
      <c r="H473">
        <v>13</v>
      </c>
      <c r="I473">
        <v>1</v>
      </c>
    </row>
    <row r="474" spans="1:9">
      <c r="A474" t="s">
        <v>369</v>
      </c>
      <c r="B474" t="s">
        <v>907</v>
      </c>
      <c r="C474" t="s">
        <v>908</v>
      </c>
      <c r="D474">
        <v>3.4285714285714199</v>
      </c>
      <c r="E474">
        <v>28</v>
      </c>
      <c r="F474">
        <v>18</v>
      </c>
      <c r="G474">
        <v>1</v>
      </c>
      <c r="H474">
        <v>9</v>
      </c>
      <c r="I474">
        <v>1</v>
      </c>
    </row>
    <row r="475" spans="1:9">
      <c r="A475" t="s">
        <v>325</v>
      </c>
      <c r="B475" t="s">
        <v>1118</v>
      </c>
      <c r="C475" t="s">
        <v>959</v>
      </c>
      <c r="D475">
        <v>3.9444444444444402</v>
      </c>
      <c r="E475">
        <v>108</v>
      </c>
      <c r="F475">
        <v>76</v>
      </c>
      <c r="G475">
        <v>11</v>
      </c>
      <c r="H475">
        <v>21</v>
      </c>
      <c r="I475">
        <v>1</v>
      </c>
    </row>
    <row r="476" spans="1:9">
      <c r="A476" t="s">
        <v>439</v>
      </c>
      <c r="B476" t="s">
        <v>919</v>
      </c>
      <c r="C476" t="s">
        <v>920</v>
      </c>
      <c r="D476">
        <v>4.2524271844660104</v>
      </c>
      <c r="E476">
        <v>103</v>
      </c>
      <c r="F476">
        <v>81</v>
      </c>
      <c r="G476">
        <v>9</v>
      </c>
      <c r="H476">
        <v>13</v>
      </c>
      <c r="I476">
        <v>1</v>
      </c>
    </row>
    <row r="477" spans="1:9">
      <c r="A477" s="2" t="s">
        <v>20</v>
      </c>
      <c r="B477" t="s">
        <v>969</v>
      </c>
      <c r="C477" t="s">
        <v>908</v>
      </c>
      <c r="D477">
        <v>3.6</v>
      </c>
      <c r="E477">
        <v>25</v>
      </c>
      <c r="F477">
        <v>16</v>
      </c>
      <c r="G477">
        <v>2</v>
      </c>
      <c r="H477">
        <v>7</v>
      </c>
      <c r="I477">
        <v>1</v>
      </c>
    </row>
    <row r="478" spans="1:9">
      <c r="A478" t="s">
        <v>105</v>
      </c>
      <c r="B478" t="s">
        <v>907</v>
      </c>
      <c r="C478" t="s">
        <v>908</v>
      </c>
      <c r="D478">
        <v>3.3176470588235198</v>
      </c>
      <c r="E478">
        <v>85</v>
      </c>
      <c r="F478">
        <v>51</v>
      </c>
      <c r="G478">
        <v>2</v>
      </c>
      <c r="H478">
        <v>32</v>
      </c>
      <c r="I478">
        <v>1</v>
      </c>
    </row>
    <row r="479" spans="1:9">
      <c r="A479" t="s">
        <v>330</v>
      </c>
      <c r="B479" t="s">
        <v>1036</v>
      </c>
      <c r="C479" t="s">
        <v>908</v>
      </c>
      <c r="D479">
        <v>4.5454545454545396</v>
      </c>
      <c r="E479">
        <v>66</v>
      </c>
      <c r="F479">
        <v>60</v>
      </c>
      <c r="G479">
        <v>3</v>
      </c>
      <c r="H479">
        <v>3</v>
      </c>
      <c r="I479">
        <v>1</v>
      </c>
    </row>
    <row r="480" spans="1:9">
      <c r="A480" t="s">
        <v>736</v>
      </c>
      <c r="B480" t="s">
        <v>907</v>
      </c>
      <c r="C480" t="s">
        <v>908</v>
      </c>
      <c r="D480">
        <v>3.76</v>
      </c>
      <c r="E480">
        <v>50</v>
      </c>
      <c r="F480">
        <v>34</v>
      </c>
      <c r="G480">
        <v>5</v>
      </c>
      <c r="H480">
        <v>11</v>
      </c>
      <c r="I480">
        <v>1</v>
      </c>
    </row>
    <row r="481" spans="1:9">
      <c r="A481" t="s">
        <v>667</v>
      </c>
      <c r="B481" t="s">
        <v>907</v>
      </c>
      <c r="C481" t="s">
        <v>908</v>
      </c>
      <c r="D481">
        <v>3.3</v>
      </c>
      <c r="E481">
        <v>50</v>
      </c>
      <c r="F481">
        <v>27</v>
      </c>
      <c r="G481">
        <v>6</v>
      </c>
      <c r="H481">
        <v>17</v>
      </c>
      <c r="I481">
        <v>1</v>
      </c>
    </row>
    <row r="482" spans="1:9">
      <c r="A482" t="s">
        <v>422</v>
      </c>
      <c r="B482" t="s">
        <v>1119</v>
      </c>
      <c r="C482" t="s">
        <v>930</v>
      </c>
      <c r="D482">
        <v>4.3571428571428497</v>
      </c>
      <c r="E482">
        <v>42</v>
      </c>
      <c r="F482">
        <v>34</v>
      </c>
      <c r="G482">
        <v>2</v>
      </c>
      <c r="H482">
        <v>6</v>
      </c>
      <c r="I482">
        <v>1</v>
      </c>
    </row>
    <row r="483" spans="1:9">
      <c r="A483" t="s">
        <v>735</v>
      </c>
      <c r="B483" t="s">
        <v>1120</v>
      </c>
      <c r="C483" t="s">
        <v>959</v>
      </c>
      <c r="D483">
        <v>4.7454545454545398</v>
      </c>
      <c r="E483">
        <v>55</v>
      </c>
      <c r="F483">
        <v>52</v>
      </c>
      <c r="G483">
        <v>2</v>
      </c>
      <c r="H483">
        <v>1</v>
      </c>
      <c r="I483">
        <v>1</v>
      </c>
    </row>
    <row r="484" spans="1:9">
      <c r="A484" t="s">
        <v>802</v>
      </c>
      <c r="B484" t="s">
        <v>926</v>
      </c>
      <c r="C484" t="s">
        <v>913</v>
      </c>
      <c r="D484">
        <v>3.07339449541284</v>
      </c>
      <c r="E484">
        <v>109</v>
      </c>
      <c r="F484">
        <v>56</v>
      </c>
      <c r="G484">
        <v>9</v>
      </c>
      <c r="H484">
        <v>44</v>
      </c>
      <c r="I484">
        <v>1</v>
      </c>
    </row>
    <row r="485" spans="1:9">
      <c r="A485" s="2" t="s">
        <v>901</v>
      </c>
      <c r="B485" t="s">
        <v>1037</v>
      </c>
      <c r="C485" t="s">
        <v>959</v>
      </c>
      <c r="D485">
        <v>3.8333333333333299</v>
      </c>
      <c r="E485">
        <v>24</v>
      </c>
      <c r="F485">
        <v>18</v>
      </c>
      <c r="G485">
        <v>0</v>
      </c>
      <c r="H485">
        <v>6</v>
      </c>
      <c r="I485">
        <v>1</v>
      </c>
    </row>
    <row r="486" spans="1:9">
      <c r="A486" t="s">
        <v>120</v>
      </c>
      <c r="B486" t="s">
        <v>992</v>
      </c>
      <c r="C486" t="s">
        <v>908</v>
      </c>
      <c r="D486">
        <v>3.3529411764705799</v>
      </c>
      <c r="E486">
        <v>34</v>
      </c>
      <c r="F486">
        <v>17</v>
      </c>
      <c r="G486">
        <v>5</v>
      </c>
      <c r="H486">
        <v>12</v>
      </c>
      <c r="I486">
        <v>1</v>
      </c>
    </row>
    <row r="487" spans="1:9">
      <c r="A487" t="s">
        <v>240</v>
      </c>
      <c r="B487" t="s">
        <v>907</v>
      </c>
      <c r="C487" t="s">
        <v>908</v>
      </c>
      <c r="D487">
        <v>4.2872340425531901</v>
      </c>
      <c r="E487">
        <v>188</v>
      </c>
      <c r="F487">
        <v>156</v>
      </c>
      <c r="G487">
        <v>14</v>
      </c>
      <c r="H487">
        <v>18</v>
      </c>
      <c r="I487">
        <v>1</v>
      </c>
    </row>
    <row r="488" spans="1:9">
      <c r="A488" s="2" t="s">
        <v>350</v>
      </c>
      <c r="B488" t="s">
        <v>1100</v>
      </c>
      <c r="C488" t="s">
        <v>908</v>
      </c>
      <c r="D488">
        <v>3.7253086419753001</v>
      </c>
      <c r="E488">
        <v>324</v>
      </c>
      <c r="F488">
        <v>214</v>
      </c>
      <c r="G488">
        <v>31</v>
      </c>
      <c r="H488">
        <v>79</v>
      </c>
      <c r="I488">
        <v>1</v>
      </c>
    </row>
    <row r="489" spans="1:9">
      <c r="A489" t="s">
        <v>241</v>
      </c>
      <c r="B489" t="s">
        <v>938</v>
      </c>
      <c r="C489" t="s">
        <v>908</v>
      </c>
      <c r="D489">
        <v>4.2307692307692299</v>
      </c>
      <c r="E489">
        <v>442</v>
      </c>
      <c r="F489">
        <v>359</v>
      </c>
      <c r="G489">
        <v>30</v>
      </c>
      <c r="H489">
        <v>53</v>
      </c>
      <c r="I489">
        <v>1</v>
      </c>
    </row>
    <row r="490" spans="1:9">
      <c r="A490" t="s">
        <v>642</v>
      </c>
      <c r="B490" t="s">
        <v>912</v>
      </c>
      <c r="C490" t="s">
        <v>913</v>
      </c>
      <c r="D490">
        <v>4.1724137931034404</v>
      </c>
      <c r="E490">
        <v>522</v>
      </c>
      <c r="F490">
        <v>417</v>
      </c>
      <c r="G490">
        <v>50</v>
      </c>
      <c r="H490">
        <v>55</v>
      </c>
      <c r="I490">
        <v>1</v>
      </c>
    </row>
    <row r="491" spans="1:9">
      <c r="A491" t="s">
        <v>211</v>
      </c>
      <c r="B491" t="s">
        <v>1070</v>
      </c>
      <c r="C491" t="s">
        <v>908</v>
      </c>
      <c r="D491">
        <v>4.03809523809523</v>
      </c>
      <c r="E491">
        <v>105</v>
      </c>
      <c r="F491">
        <v>78</v>
      </c>
      <c r="G491">
        <v>9</v>
      </c>
      <c r="H491">
        <v>18</v>
      </c>
      <c r="I491">
        <v>1</v>
      </c>
    </row>
    <row r="492" spans="1:9">
      <c r="A492" t="s">
        <v>739</v>
      </c>
      <c r="B492" t="s">
        <v>1061</v>
      </c>
      <c r="C492" t="s">
        <v>930</v>
      </c>
      <c r="D492">
        <v>4.0047393364928903</v>
      </c>
      <c r="E492">
        <v>211</v>
      </c>
      <c r="F492">
        <v>161</v>
      </c>
      <c r="G492">
        <v>12</v>
      </c>
      <c r="H492">
        <v>38</v>
      </c>
      <c r="I492">
        <v>1</v>
      </c>
    </row>
    <row r="493" spans="1:9">
      <c r="A493" t="s">
        <v>777</v>
      </c>
      <c r="B493" t="s">
        <v>1121</v>
      </c>
      <c r="C493" t="s">
        <v>913</v>
      </c>
      <c r="D493">
        <v>4.0625</v>
      </c>
      <c r="E493">
        <v>64</v>
      </c>
      <c r="F493">
        <v>46</v>
      </c>
      <c r="G493">
        <v>13</v>
      </c>
      <c r="H493">
        <v>5</v>
      </c>
      <c r="I493">
        <v>1</v>
      </c>
    </row>
    <row r="494" spans="1:9">
      <c r="A494" t="s">
        <v>209</v>
      </c>
      <c r="B494" t="s">
        <v>966</v>
      </c>
      <c r="C494" t="s">
        <v>925</v>
      </c>
      <c r="D494">
        <v>4.3665689149560096</v>
      </c>
      <c r="E494">
        <v>341</v>
      </c>
      <c r="F494">
        <v>291</v>
      </c>
      <c r="G494">
        <v>27</v>
      </c>
      <c r="H494">
        <v>23</v>
      </c>
      <c r="I494">
        <v>1</v>
      </c>
    </row>
    <row r="495" spans="1:9">
      <c r="A495" t="s">
        <v>48</v>
      </c>
      <c r="B495" t="s">
        <v>950</v>
      </c>
      <c r="C495" t="s">
        <v>920</v>
      </c>
      <c r="D495">
        <v>3.3516129032258002</v>
      </c>
      <c r="E495">
        <v>310</v>
      </c>
      <c r="F495">
        <v>180</v>
      </c>
      <c r="G495">
        <v>30</v>
      </c>
      <c r="H495">
        <v>100</v>
      </c>
      <c r="I495">
        <v>1</v>
      </c>
    </row>
    <row r="496" spans="1:9">
      <c r="A496" t="s">
        <v>562</v>
      </c>
      <c r="B496" t="s">
        <v>1122</v>
      </c>
      <c r="C496" t="s">
        <v>930</v>
      </c>
      <c r="D496">
        <v>3.8695652173913002</v>
      </c>
      <c r="E496">
        <v>23</v>
      </c>
      <c r="F496">
        <v>16</v>
      </c>
      <c r="G496">
        <v>3</v>
      </c>
      <c r="H496">
        <v>4</v>
      </c>
      <c r="I496">
        <v>1</v>
      </c>
    </row>
    <row r="497" spans="1:9">
      <c r="A497" t="s">
        <v>885</v>
      </c>
      <c r="B497" t="s">
        <v>907</v>
      </c>
      <c r="C497" t="s">
        <v>908</v>
      </c>
      <c r="D497">
        <v>3.71717171717171</v>
      </c>
      <c r="E497">
        <v>99</v>
      </c>
      <c r="F497">
        <v>67</v>
      </c>
      <c r="G497">
        <v>5</v>
      </c>
      <c r="H497">
        <v>27</v>
      </c>
      <c r="I497">
        <v>1</v>
      </c>
    </row>
    <row r="498" spans="1:9">
      <c r="A498" t="s">
        <v>132</v>
      </c>
      <c r="B498" t="s">
        <v>907</v>
      </c>
      <c r="C498" t="s">
        <v>908</v>
      </c>
      <c r="D498">
        <v>3.7741935483870899</v>
      </c>
      <c r="E498">
        <v>31</v>
      </c>
      <c r="F498">
        <v>22</v>
      </c>
      <c r="G498">
        <v>1</v>
      </c>
      <c r="H498">
        <v>8</v>
      </c>
      <c r="I498">
        <v>1</v>
      </c>
    </row>
    <row r="499" spans="1:9">
      <c r="A499" t="s">
        <v>630</v>
      </c>
      <c r="B499" t="s">
        <v>941</v>
      </c>
      <c r="C499" t="s">
        <v>908</v>
      </c>
      <c r="D499">
        <v>3.3953488372092999</v>
      </c>
      <c r="E499">
        <v>430</v>
      </c>
      <c r="F499">
        <v>254</v>
      </c>
      <c r="G499">
        <v>40</v>
      </c>
      <c r="H499">
        <v>136</v>
      </c>
      <c r="I499">
        <v>1</v>
      </c>
    </row>
    <row r="500" spans="1:9">
      <c r="A500" t="s">
        <v>49</v>
      </c>
      <c r="B500" t="s">
        <v>907</v>
      </c>
      <c r="C500" t="s">
        <v>908</v>
      </c>
      <c r="D500">
        <v>3.75</v>
      </c>
      <c r="E500">
        <v>20</v>
      </c>
      <c r="F500">
        <v>15</v>
      </c>
      <c r="G500">
        <v>1</v>
      </c>
      <c r="H500">
        <v>4</v>
      </c>
      <c r="I500">
        <v>1</v>
      </c>
    </row>
    <row r="501" spans="1:9">
      <c r="A501" t="s">
        <v>863</v>
      </c>
      <c r="B501" t="s">
        <v>907</v>
      </c>
      <c r="C501" t="s">
        <v>908</v>
      </c>
      <c r="D501">
        <v>4.3548387096774102</v>
      </c>
      <c r="E501">
        <v>62</v>
      </c>
      <c r="F501">
        <v>54</v>
      </c>
      <c r="G501">
        <v>3</v>
      </c>
      <c r="H501">
        <v>5</v>
      </c>
      <c r="I501">
        <v>1</v>
      </c>
    </row>
    <row r="502" spans="1:9">
      <c r="A502" t="s">
        <v>362</v>
      </c>
      <c r="B502" t="s">
        <v>907</v>
      </c>
      <c r="C502" t="s">
        <v>908</v>
      </c>
      <c r="D502">
        <v>3.7833333333333301</v>
      </c>
      <c r="E502">
        <v>180</v>
      </c>
      <c r="F502">
        <v>118</v>
      </c>
      <c r="G502">
        <v>26</v>
      </c>
      <c r="H502">
        <v>36</v>
      </c>
      <c r="I502">
        <v>1</v>
      </c>
    </row>
    <row r="503" spans="1:9">
      <c r="A503" t="s">
        <v>52</v>
      </c>
      <c r="B503" t="s">
        <v>983</v>
      </c>
      <c r="C503" t="s">
        <v>908</v>
      </c>
      <c r="D503">
        <v>4.2019230769230704</v>
      </c>
      <c r="E503">
        <v>104</v>
      </c>
      <c r="F503">
        <v>83</v>
      </c>
      <c r="G503">
        <v>8</v>
      </c>
      <c r="H503">
        <v>13</v>
      </c>
      <c r="I503">
        <v>1</v>
      </c>
    </row>
    <row r="504" spans="1:9">
      <c r="A504" t="s">
        <v>817</v>
      </c>
      <c r="B504" t="s">
        <v>1039</v>
      </c>
      <c r="C504" t="s">
        <v>1040</v>
      </c>
      <c r="D504">
        <v>4.1538461538461497</v>
      </c>
      <c r="E504">
        <v>26</v>
      </c>
      <c r="F504">
        <v>19</v>
      </c>
      <c r="G504">
        <v>5</v>
      </c>
      <c r="H504">
        <v>2</v>
      </c>
      <c r="I504">
        <v>1</v>
      </c>
    </row>
    <row r="505" spans="1:9">
      <c r="A505" t="s">
        <v>70</v>
      </c>
      <c r="B505" t="s">
        <v>1077</v>
      </c>
      <c r="C505" t="s">
        <v>930</v>
      </c>
      <c r="D505">
        <v>4.4461538461538401</v>
      </c>
      <c r="E505">
        <v>65</v>
      </c>
      <c r="F505">
        <v>58</v>
      </c>
      <c r="G505">
        <v>1</v>
      </c>
      <c r="H505">
        <v>6</v>
      </c>
      <c r="I505">
        <v>1</v>
      </c>
    </row>
    <row r="506" spans="1:9">
      <c r="A506" t="s">
        <v>762</v>
      </c>
      <c r="B506" t="s">
        <v>1123</v>
      </c>
      <c r="C506" t="s">
        <v>959</v>
      </c>
      <c r="D506">
        <v>3.88888888888888</v>
      </c>
      <c r="E506">
        <v>45</v>
      </c>
      <c r="F506">
        <v>29</v>
      </c>
      <c r="G506">
        <v>8</v>
      </c>
      <c r="H506">
        <v>8</v>
      </c>
      <c r="I506">
        <v>1</v>
      </c>
    </row>
    <row r="507" spans="1:9">
      <c r="A507" t="s">
        <v>53</v>
      </c>
      <c r="B507" t="s">
        <v>927</v>
      </c>
      <c r="C507" t="s">
        <v>908</v>
      </c>
      <c r="D507">
        <v>3.86184210526315</v>
      </c>
      <c r="E507">
        <v>152</v>
      </c>
      <c r="F507">
        <v>109</v>
      </c>
      <c r="G507">
        <v>15</v>
      </c>
      <c r="H507">
        <v>28</v>
      </c>
      <c r="I507">
        <v>1</v>
      </c>
    </row>
    <row r="508" spans="1:9">
      <c r="A508" t="s">
        <v>38</v>
      </c>
      <c r="B508" t="s">
        <v>907</v>
      </c>
      <c r="C508" t="s">
        <v>908</v>
      </c>
      <c r="D508">
        <v>3.9950690335305699</v>
      </c>
      <c r="E508">
        <v>1014</v>
      </c>
      <c r="F508">
        <v>761</v>
      </c>
      <c r="G508">
        <v>79</v>
      </c>
      <c r="H508">
        <v>174</v>
      </c>
      <c r="I508">
        <v>1</v>
      </c>
    </row>
    <row r="509" spans="1:9">
      <c r="A509" t="s">
        <v>55</v>
      </c>
      <c r="B509" t="s">
        <v>1124</v>
      </c>
      <c r="C509" t="s">
        <v>959</v>
      </c>
      <c r="D509">
        <v>4.0566037735849001</v>
      </c>
      <c r="E509">
        <v>53</v>
      </c>
      <c r="F509">
        <v>42</v>
      </c>
      <c r="G509">
        <v>2</v>
      </c>
      <c r="H509">
        <v>9</v>
      </c>
      <c r="I509">
        <v>1</v>
      </c>
    </row>
    <row r="510" spans="1:9">
      <c r="A510" t="s">
        <v>878</v>
      </c>
      <c r="B510" t="s">
        <v>988</v>
      </c>
      <c r="C510" t="s">
        <v>908</v>
      </c>
      <c r="D510">
        <v>4.34375</v>
      </c>
      <c r="E510">
        <v>96</v>
      </c>
      <c r="F510">
        <v>84</v>
      </c>
      <c r="G510">
        <v>2</v>
      </c>
      <c r="H510">
        <v>10</v>
      </c>
      <c r="I510">
        <v>1</v>
      </c>
    </row>
    <row r="511" spans="1:9">
      <c r="A511" t="s">
        <v>329</v>
      </c>
      <c r="B511" t="s">
        <v>907</v>
      </c>
      <c r="C511" t="s">
        <v>908</v>
      </c>
      <c r="D511">
        <v>4.2058823529411704</v>
      </c>
      <c r="E511">
        <v>34</v>
      </c>
      <c r="F511">
        <v>26</v>
      </c>
      <c r="G511">
        <v>5</v>
      </c>
      <c r="H511">
        <v>3</v>
      </c>
      <c r="I511">
        <v>1</v>
      </c>
    </row>
    <row r="512" spans="1:9">
      <c r="A512" t="s">
        <v>196</v>
      </c>
      <c r="B512" t="s">
        <v>1061</v>
      </c>
      <c r="C512" t="s">
        <v>930</v>
      </c>
      <c r="D512">
        <v>4.3275862068965498</v>
      </c>
      <c r="E512">
        <v>116</v>
      </c>
      <c r="F512">
        <v>95</v>
      </c>
      <c r="G512">
        <v>12</v>
      </c>
      <c r="H512">
        <v>9</v>
      </c>
      <c r="I512">
        <v>1</v>
      </c>
    </row>
    <row r="513" spans="1:9">
      <c r="A513" t="s">
        <v>738</v>
      </c>
      <c r="B513" t="s">
        <v>1125</v>
      </c>
      <c r="C513" t="s">
        <v>908</v>
      </c>
      <c r="D513">
        <v>4.1666666666666599</v>
      </c>
      <c r="E513">
        <v>24</v>
      </c>
      <c r="F513">
        <v>20</v>
      </c>
      <c r="G513">
        <v>0</v>
      </c>
      <c r="H513">
        <v>4</v>
      </c>
      <c r="I513">
        <v>1</v>
      </c>
    </row>
    <row r="514" spans="1:9">
      <c r="A514" t="s">
        <v>133</v>
      </c>
      <c r="B514" t="s">
        <v>1025</v>
      </c>
      <c r="C514" t="s">
        <v>930</v>
      </c>
      <c r="D514">
        <v>4.1463414634146298</v>
      </c>
      <c r="E514">
        <v>82</v>
      </c>
      <c r="F514">
        <v>59</v>
      </c>
      <c r="G514">
        <v>14</v>
      </c>
      <c r="H514">
        <v>9</v>
      </c>
      <c r="I514">
        <v>1</v>
      </c>
    </row>
    <row r="515" spans="1:9">
      <c r="A515" t="s">
        <v>614</v>
      </c>
      <c r="B515" t="s">
        <v>1126</v>
      </c>
      <c r="C515" t="s">
        <v>913</v>
      </c>
      <c r="D515">
        <v>4.1538461538461497</v>
      </c>
      <c r="E515">
        <v>26</v>
      </c>
      <c r="F515">
        <v>20</v>
      </c>
      <c r="G515">
        <v>3</v>
      </c>
      <c r="H515">
        <v>3</v>
      </c>
      <c r="I515">
        <v>1</v>
      </c>
    </row>
    <row r="516" spans="1:9">
      <c r="A516" t="s">
        <v>279</v>
      </c>
      <c r="B516" t="s">
        <v>1127</v>
      </c>
      <c r="C516" t="s">
        <v>1128</v>
      </c>
      <c r="D516">
        <v>4.46428571428571</v>
      </c>
      <c r="E516">
        <v>28</v>
      </c>
      <c r="F516">
        <v>25</v>
      </c>
      <c r="G516">
        <v>0</v>
      </c>
      <c r="H516">
        <v>3</v>
      </c>
      <c r="I516">
        <v>1</v>
      </c>
    </row>
    <row r="517" spans="1:9">
      <c r="A517" t="s">
        <v>741</v>
      </c>
      <c r="B517" t="s">
        <v>970</v>
      </c>
      <c r="C517" t="s">
        <v>908</v>
      </c>
      <c r="D517">
        <v>4.1921397379912602</v>
      </c>
      <c r="E517">
        <v>229</v>
      </c>
      <c r="F517">
        <v>187</v>
      </c>
      <c r="G517">
        <v>18</v>
      </c>
      <c r="H517">
        <v>24</v>
      </c>
      <c r="I517">
        <v>1</v>
      </c>
    </row>
    <row r="518" spans="1:9">
      <c r="A518" t="s">
        <v>373</v>
      </c>
      <c r="B518" t="s">
        <v>1105</v>
      </c>
      <c r="C518" t="s">
        <v>913</v>
      </c>
      <c r="D518">
        <v>3.90350877192982</v>
      </c>
      <c r="E518">
        <v>114</v>
      </c>
      <c r="F518">
        <v>78</v>
      </c>
      <c r="G518">
        <v>14</v>
      </c>
      <c r="H518">
        <v>22</v>
      </c>
      <c r="I518">
        <v>1</v>
      </c>
    </row>
    <row r="519" spans="1:9">
      <c r="A519" t="s">
        <v>622</v>
      </c>
      <c r="B519" t="s">
        <v>927</v>
      </c>
      <c r="C519" t="s">
        <v>908</v>
      </c>
      <c r="D519">
        <v>3.0150375939849599</v>
      </c>
      <c r="E519">
        <v>133</v>
      </c>
      <c r="F519">
        <v>63</v>
      </c>
      <c r="G519">
        <v>11</v>
      </c>
      <c r="H519">
        <v>59</v>
      </c>
      <c r="I519">
        <v>1</v>
      </c>
    </row>
    <row r="520" spans="1:9">
      <c r="A520" t="s">
        <v>313</v>
      </c>
      <c r="B520" t="s">
        <v>1123</v>
      </c>
      <c r="C520" t="s">
        <v>959</v>
      </c>
      <c r="D520">
        <v>4</v>
      </c>
      <c r="E520">
        <v>66</v>
      </c>
      <c r="F520">
        <v>49</v>
      </c>
      <c r="G520">
        <v>9</v>
      </c>
      <c r="H520">
        <v>8</v>
      </c>
      <c r="I520">
        <v>1</v>
      </c>
    </row>
    <row r="521" spans="1:9">
      <c r="A521" t="s">
        <v>572</v>
      </c>
      <c r="B521" t="s">
        <v>1113</v>
      </c>
      <c r="C521" t="s">
        <v>908</v>
      </c>
      <c r="D521">
        <v>4.2168674698795101</v>
      </c>
      <c r="E521">
        <v>83</v>
      </c>
      <c r="F521">
        <v>67</v>
      </c>
      <c r="G521">
        <v>8</v>
      </c>
      <c r="H521">
        <v>8</v>
      </c>
      <c r="I521">
        <v>1</v>
      </c>
    </row>
    <row r="522" spans="1:9">
      <c r="A522" t="s">
        <v>829</v>
      </c>
      <c r="B522" t="s">
        <v>1129</v>
      </c>
      <c r="C522" t="s">
        <v>908</v>
      </c>
      <c r="D522">
        <v>4.0632183908045896</v>
      </c>
      <c r="E522">
        <v>174</v>
      </c>
      <c r="F522">
        <v>137</v>
      </c>
      <c r="G522">
        <v>12</v>
      </c>
      <c r="H522">
        <v>25</v>
      </c>
      <c r="I522">
        <v>1</v>
      </c>
    </row>
    <row r="523" spans="1:9">
      <c r="A523" t="s">
        <v>151</v>
      </c>
      <c r="B523" t="s">
        <v>1130</v>
      </c>
      <c r="C523" t="s">
        <v>913</v>
      </c>
      <c r="D523">
        <v>3.4761904761904701</v>
      </c>
      <c r="E523">
        <v>21</v>
      </c>
      <c r="F523">
        <v>12</v>
      </c>
      <c r="G523">
        <v>3</v>
      </c>
      <c r="H523">
        <v>6</v>
      </c>
      <c r="I523">
        <v>1</v>
      </c>
    </row>
    <row r="524" spans="1:9">
      <c r="A524" t="s">
        <v>91</v>
      </c>
      <c r="B524" t="s">
        <v>907</v>
      </c>
      <c r="C524" t="s">
        <v>908</v>
      </c>
      <c r="D524">
        <v>4.3571428571428497</v>
      </c>
      <c r="E524">
        <v>28</v>
      </c>
      <c r="F524">
        <v>25</v>
      </c>
      <c r="G524">
        <v>1</v>
      </c>
      <c r="H524">
        <v>2</v>
      </c>
      <c r="I524">
        <v>1</v>
      </c>
    </row>
    <row r="525" spans="1:9">
      <c r="A525" t="s">
        <v>476</v>
      </c>
      <c r="B525" t="s">
        <v>1010</v>
      </c>
      <c r="C525" t="s">
        <v>908</v>
      </c>
      <c r="D525">
        <v>4.1882352941176402</v>
      </c>
      <c r="E525">
        <v>85</v>
      </c>
      <c r="F525">
        <v>68</v>
      </c>
      <c r="G525">
        <v>9</v>
      </c>
      <c r="H525">
        <v>8</v>
      </c>
      <c r="I525">
        <v>1</v>
      </c>
    </row>
    <row r="526" spans="1:9">
      <c r="A526" t="s">
        <v>484</v>
      </c>
      <c r="B526" t="s">
        <v>907</v>
      </c>
      <c r="C526" t="s">
        <v>908</v>
      </c>
      <c r="D526">
        <v>3.7666666666666599</v>
      </c>
      <c r="E526">
        <v>60</v>
      </c>
      <c r="F526">
        <v>38</v>
      </c>
      <c r="G526">
        <v>9</v>
      </c>
      <c r="H526">
        <v>13</v>
      </c>
      <c r="I526">
        <v>1</v>
      </c>
    </row>
    <row r="527" spans="1:9">
      <c r="A527" t="s">
        <v>281</v>
      </c>
      <c r="B527" t="s">
        <v>1041</v>
      </c>
      <c r="C527" t="s">
        <v>908</v>
      </c>
      <c r="D527">
        <v>4.34375</v>
      </c>
      <c r="E527">
        <v>32</v>
      </c>
      <c r="F527">
        <v>29</v>
      </c>
      <c r="G527">
        <v>1</v>
      </c>
      <c r="H527">
        <v>2</v>
      </c>
      <c r="I527">
        <v>1</v>
      </c>
    </row>
    <row r="528" spans="1:9">
      <c r="A528" t="s">
        <v>597</v>
      </c>
      <c r="B528" t="s">
        <v>919</v>
      </c>
      <c r="C528" t="s">
        <v>920</v>
      </c>
      <c r="D528">
        <v>4.3928571428571397</v>
      </c>
      <c r="E528">
        <v>28</v>
      </c>
      <c r="F528">
        <v>25</v>
      </c>
      <c r="G528">
        <v>1</v>
      </c>
      <c r="H528">
        <v>2</v>
      </c>
      <c r="I528">
        <v>1</v>
      </c>
    </row>
    <row r="529" spans="1:9">
      <c r="A529" t="s">
        <v>590</v>
      </c>
      <c r="B529" t="s">
        <v>907</v>
      </c>
      <c r="C529" t="s">
        <v>908</v>
      </c>
      <c r="D529">
        <v>4.2777777777777697</v>
      </c>
      <c r="E529">
        <v>72</v>
      </c>
      <c r="F529">
        <v>58</v>
      </c>
      <c r="G529">
        <v>9</v>
      </c>
      <c r="H529">
        <v>5</v>
      </c>
      <c r="I529">
        <v>1</v>
      </c>
    </row>
    <row r="530" spans="1:9">
      <c r="A530" t="s">
        <v>820</v>
      </c>
      <c r="B530" t="s">
        <v>907</v>
      </c>
      <c r="C530" t="s">
        <v>908</v>
      </c>
      <c r="D530">
        <v>3.9309392265193299</v>
      </c>
      <c r="E530">
        <v>362</v>
      </c>
      <c r="F530">
        <v>263</v>
      </c>
      <c r="G530">
        <v>38</v>
      </c>
      <c r="H530">
        <v>61</v>
      </c>
      <c r="I530">
        <v>1</v>
      </c>
    </row>
    <row r="531" spans="1:9">
      <c r="A531" t="s">
        <v>364</v>
      </c>
      <c r="B531" t="s">
        <v>1131</v>
      </c>
      <c r="C531" t="s">
        <v>908</v>
      </c>
      <c r="D531">
        <v>4.0999999999999996</v>
      </c>
      <c r="E531">
        <v>20</v>
      </c>
      <c r="F531">
        <v>16</v>
      </c>
      <c r="G531">
        <v>3</v>
      </c>
      <c r="H531">
        <v>1</v>
      </c>
      <c r="I531">
        <v>1</v>
      </c>
    </row>
    <row r="532" spans="1:9">
      <c r="A532" t="s">
        <v>611</v>
      </c>
      <c r="B532" t="s">
        <v>912</v>
      </c>
      <c r="C532" t="s">
        <v>913</v>
      </c>
      <c r="D532">
        <v>4</v>
      </c>
      <c r="E532">
        <v>34</v>
      </c>
      <c r="F532">
        <v>26</v>
      </c>
      <c r="G532">
        <v>3</v>
      </c>
      <c r="H532">
        <v>5</v>
      </c>
      <c r="I532">
        <v>1</v>
      </c>
    </row>
    <row r="533" spans="1:9">
      <c r="A533" s="2" t="s">
        <v>686</v>
      </c>
      <c r="B533" t="s">
        <v>1132</v>
      </c>
      <c r="C533" t="s">
        <v>925</v>
      </c>
      <c r="D533">
        <v>4.2894736842105203</v>
      </c>
      <c r="E533">
        <v>76</v>
      </c>
      <c r="F533">
        <v>62</v>
      </c>
      <c r="G533">
        <v>5</v>
      </c>
      <c r="H533">
        <v>9</v>
      </c>
      <c r="I533">
        <v>1</v>
      </c>
    </row>
    <row r="534" spans="1:9">
      <c r="A534" t="s">
        <v>892</v>
      </c>
      <c r="B534" t="s">
        <v>1056</v>
      </c>
      <c r="C534" t="s">
        <v>908</v>
      </c>
      <c r="D534">
        <v>3.9411764705882302</v>
      </c>
      <c r="E534">
        <v>34</v>
      </c>
      <c r="F534">
        <v>24</v>
      </c>
      <c r="G534">
        <v>4</v>
      </c>
      <c r="H534">
        <v>6</v>
      </c>
      <c r="I534">
        <v>1</v>
      </c>
    </row>
    <row r="535" spans="1:9">
      <c r="A535" t="s">
        <v>189</v>
      </c>
      <c r="B535" t="s">
        <v>911</v>
      </c>
      <c r="C535" t="s">
        <v>908</v>
      </c>
      <c r="D535">
        <v>4.1176470588235201</v>
      </c>
      <c r="E535">
        <v>68</v>
      </c>
      <c r="F535">
        <v>53</v>
      </c>
      <c r="G535">
        <v>6</v>
      </c>
      <c r="H535">
        <v>9</v>
      </c>
      <c r="I535">
        <v>1</v>
      </c>
    </row>
    <row r="536" spans="1:9">
      <c r="A536" t="s">
        <v>188</v>
      </c>
      <c r="B536" t="s">
        <v>907</v>
      </c>
      <c r="C536" t="s">
        <v>908</v>
      </c>
      <c r="D536">
        <v>4.0517125587642697</v>
      </c>
      <c r="E536">
        <v>1489</v>
      </c>
      <c r="F536">
        <v>1129</v>
      </c>
      <c r="G536">
        <v>145</v>
      </c>
      <c r="H536">
        <v>215</v>
      </c>
      <c r="I536">
        <v>1</v>
      </c>
    </row>
    <row r="537" spans="1:9">
      <c r="A537" s="2" t="s">
        <v>791</v>
      </c>
      <c r="B537" t="s">
        <v>1133</v>
      </c>
      <c r="C537" t="s">
        <v>913</v>
      </c>
      <c r="D537">
        <v>4.0416666666666599</v>
      </c>
      <c r="E537">
        <v>24</v>
      </c>
      <c r="F537">
        <v>18</v>
      </c>
      <c r="G537">
        <v>4</v>
      </c>
      <c r="H537">
        <v>2</v>
      </c>
      <c r="I537">
        <v>1</v>
      </c>
    </row>
    <row r="538" spans="1:9">
      <c r="A538" t="s">
        <v>657</v>
      </c>
      <c r="B538" t="s">
        <v>1037</v>
      </c>
      <c r="C538" t="s">
        <v>959</v>
      </c>
      <c r="D538">
        <v>3.99481865284974</v>
      </c>
      <c r="E538">
        <v>193</v>
      </c>
      <c r="F538">
        <v>137</v>
      </c>
      <c r="G538">
        <v>26</v>
      </c>
      <c r="H538">
        <v>30</v>
      </c>
      <c r="I538">
        <v>1</v>
      </c>
    </row>
    <row r="539" spans="1:9">
      <c r="A539" t="s">
        <v>65</v>
      </c>
      <c r="B539" t="s">
        <v>1001</v>
      </c>
      <c r="C539" t="s">
        <v>908</v>
      </c>
      <c r="D539">
        <v>4.2666666666666604</v>
      </c>
      <c r="E539">
        <v>30</v>
      </c>
      <c r="F539">
        <v>26</v>
      </c>
      <c r="G539">
        <v>0</v>
      </c>
      <c r="H539">
        <v>4</v>
      </c>
      <c r="I539">
        <v>1</v>
      </c>
    </row>
    <row r="540" spans="1:9">
      <c r="A540" t="s">
        <v>228</v>
      </c>
      <c r="B540" t="s">
        <v>928</v>
      </c>
      <c r="C540" t="s">
        <v>913</v>
      </c>
      <c r="D540">
        <v>3.1764705882352899</v>
      </c>
      <c r="E540">
        <v>68</v>
      </c>
      <c r="F540">
        <v>34</v>
      </c>
      <c r="G540">
        <v>3</v>
      </c>
      <c r="H540">
        <v>31</v>
      </c>
      <c r="I540">
        <v>1</v>
      </c>
    </row>
    <row r="541" spans="1:9">
      <c r="A541" t="s">
        <v>608</v>
      </c>
      <c r="B541" t="s">
        <v>907</v>
      </c>
      <c r="C541" t="s">
        <v>908</v>
      </c>
      <c r="D541">
        <v>4.6551724137930997</v>
      </c>
      <c r="E541">
        <v>29</v>
      </c>
      <c r="F541">
        <v>27</v>
      </c>
      <c r="G541">
        <v>2</v>
      </c>
      <c r="H541">
        <v>0</v>
      </c>
      <c r="I541">
        <v>1</v>
      </c>
    </row>
    <row r="542" spans="1:9">
      <c r="A542" t="s">
        <v>142</v>
      </c>
      <c r="B542" t="s">
        <v>1082</v>
      </c>
      <c r="C542" t="s">
        <v>920</v>
      </c>
      <c r="D542">
        <v>4.2424242424242404</v>
      </c>
      <c r="E542">
        <v>99</v>
      </c>
      <c r="F542">
        <v>82</v>
      </c>
      <c r="G542">
        <v>7</v>
      </c>
      <c r="H542">
        <v>10</v>
      </c>
      <c r="I542">
        <v>1</v>
      </c>
    </row>
    <row r="543" spans="1:9">
      <c r="A543" t="s">
        <v>633</v>
      </c>
      <c r="B543" t="s">
        <v>927</v>
      </c>
      <c r="C543" t="s">
        <v>908</v>
      </c>
      <c r="D543">
        <v>4.2564102564102502</v>
      </c>
      <c r="E543">
        <v>78</v>
      </c>
      <c r="F543">
        <v>64</v>
      </c>
      <c r="G543">
        <v>4</v>
      </c>
      <c r="H543">
        <v>10</v>
      </c>
      <c r="I543">
        <v>1</v>
      </c>
    </row>
    <row r="544" spans="1:9">
      <c r="A544" t="s">
        <v>101</v>
      </c>
      <c r="B544" t="s">
        <v>907</v>
      </c>
      <c r="C544" t="s">
        <v>908</v>
      </c>
      <c r="D544">
        <v>4.0317460317460299</v>
      </c>
      <c r="E544">
        <v>63</v>
      </c>
      <c r="F544">
        <v>46</v>
      </c>
      <c r="G544">
        <v>7</v>
      </c>
      <c r="H544">
        <v>10</v>
      </c>
      <c r="I544">
        <v>1</v>
      </c>
    </row>
    <row r="545" spans="1:9">
      <c r="A545" t="s">
        <v>604</v>
      </c>
      <c r="B545" t="s">
        <v>1109</v>
      </c>
      <c r="C545" t="s">
        <v>908</v>
      </c>
      <c r="D545">
        <v>3.8533333333333299</v>
      </c>
      <c r="E545">
        <v>75</v>
      </c>
      <c r="F545">
        <v>51</v>
      </c>
      <c r="G545">
        <v>10</v>
      </c>
      <c r="H545">
        <v>14</v>
      </c>
      <c r="I545">
        <v>1</v>
      </c>
    </row>
    <row r="546" spans="1:9">
      <c r="A546" t="s">
        <v>779</v>
      </c>
      <c r="B546" t="s">
        <v>907</v>
      </c>
      <c r="C546" t="s">
        <v>908</v>
      </c>
      <c r="D546">
        <v>4.03</v>
      </c>
      <c r="E546">
        <v>100</v>
      </c>
      <c r="F546">
        <v>74</v>
      </c>
      <c r="G546">
        <v>7</v>
      </c>
      <c r="H546">
        <v>19</v>
      </c>
      <c r="I546">
        <v>1</v>
      </c>
    </row>
    <row r="547" spans="1:9">
      <c r="A547" t="s">
        <v>861</v>
      </c>
      <c r="B547" t="s">
        <v>1134</v>
      </c>
      <c r="C547" t="s">
        <v>913</v>
      </c>
      <c r="D547">
        <v>3.9</v>
      </c>
      <c r="E547">
        <v>40</v>
      </c>
      <c r="F547">
        <v>30</v>
      </c>
      <c r="G547">
        <v>2</v>
      </c>
      <c r="H547">
        <v>8</v>
      </c>
      <c r="I547">
        <v>1</v>
      </c>
    </row>
    <row r="548" spans="1:9">
      <c r="A548" t="s">
        <v>449</v>
      </c>
      <c r="B548" t="s">
        <v>929</v>
      </c>
      <c r="C548" t="s">
        <v>930</v>
      </c>
      <c r="D548">
        <v>2.96428571428571</v>
      </c>
      <c r="E548">
        <v>84</v>
      </c>
      <c r="F548">
        <v>37</v>
      </c>
      <c r="G548">
        <v>10</v>
      </c>
      <c r="H548">
        <v>37</v>
      </c>
      <c r="I548">
        <v>1</v>
      </c>
    </row>
    <row r="549" spans="1:9">
      <c r="A549" t="s">
        <v>428</v>
      </c>
      <c r="B549" t="s">
        <v>931</v>
      </c>
      <c r="C549" t="s">
        <v>913</v>
      </c>
      <c r="D549">
        <v>2.3333333333333299</v>
      </c>
      <c r="E549">
        <v>21</v>
      </c>
      <c r="F549">
        <v>4</v>
      </c>
      <c r="G549">
        <v>6</v>
      </c>
      <c r="H549">
        <v>11</v>
      </c>
      <c r="I549">
        <v>1</v>
      </c>
    </row>
    <row r="550" spans="1:9">
      <c r="A550" t="s">
        <v>219</v>
      </c>
      <c r="B550" t="s">
        <v>1036</v>
      </c>
      <c r="C550" t="s">
        <v>908</v>
      </c>
      <c r="D550">
        <v>4.0606060606060597</v>
      </c>
      <c r="E550">
        <v>33</v>
      </c>
      <c r="F550">
        <v>25</v>
      </c>
      <c r="G550">
        <v>3</v>
      </c>
      <c r="H550">
        <v>5</v>
      </c>
      <c r="I550">
        <v>1</v>
      </c>
    </row>
    <row r="551" spans="1:9">
      <c r="A551" t="s">
        <v>801</v>
      </c>
      <c r="B551" t="s">
        <v>1135</v>
      </c>
      <c r="C551" t="s">
        <v>908</v>
      </c>
      <c r="D551">
        <v>3.8</v>
      </c>
      <c r="E551">
        <v>25</v>
      </c>
      <c r="F551">
        <v>16</v>
      </c>
      <c r="G551">
        <v>4</v>
      </c>
      <c r="H551">
        <v>5</v>
      </c>
      <c r="I551">
        <v>1</v>
      </c>
    </row>
    <row r="552" spans="1:9">
      <c r="A552" t="s">
        <v>851</v>
      </c>
      <c r="B552" t="s">
        <v>907</v>
      </c>
      <c r="C552" t="s">
        <v>908</v>
      </c>
      <c r="D552">
        <v>3.8756476683937802</v>
      </c>
      <c r="E552">
        <v>193</v>
      </c>
      <c r="F552">
        <v>139</v>
      </c>
      <c r="G552">
        <v>7</v>
      </c>
      <c r="H552">
        <v>47</v>
      </c>
      <c r="I552">
        <v>1</v>
      </c>
    </row>
    <row r="553" spans="1:9">
      <c r="A553" t="s">
        <v>31</v>
      </c>
      <c r="B553" t="s">
        <v>1136</v>
      </c>
      <c r="C553" t="s">
        <v>1027</v>
      </c>
      <c r="D553">
        <v>3.7222222222222201</v>
      </c>
      <c r="E553">
        <v>36</v>
      </c>
      <c r="F553">
        <v>22</v>
      </c>
      <c r="G553">
        <v>8</v>
      </c>
      <c r="H553">
        <v>6</v>
      </c>
      <c r="I553">
        <v>1</v>
      </c>
    </row>
    <row r="554" spans="1:9">
      <c r="A554" t="s">
        <v>719</v>
      </c>
      <c r="B554" t="s">
        <v>1137</v>
      </c>
      <c r="C554" t="s">
        <v>908</v>
      </c>
      <c r="D554">
        <v>4.2807017543859596</v>
      </c>
      <c r="E554">
        <v>57</v>
      </c>
      <c r="F554">
        <v>45</v>
      </c>
      <c r="G554">
        <v>9</v>
      </c>
      <c r="H554">
        <v>3</v>
      </c>
      <c r="I554">
        <v>1</v>
      </c>
    </row>
    <row r="555" spans="1:9">
      <c r="A555" t="s">
        <v>68</v>
      </c>
      <c r="B555" t="s">
        <v>907</v>
      </c>
      <c r="C555" t="s">
        <v>908</v>
      </c>
      <c r="D555">
        <v>3.46969696969696</v>
      </c>
      <c r="E555">
        <v>66</v>
      </c>
      <c r="F555">
        <v>38</v>
      </c>
      <c r="G555">
        <v>12</v>
      </c>
      <c r="H555">
        <v>16</v>
      </c>
      <c r="I555">
        <v>1</v>
      </c>
    </row>
    <row r="556" spans="1:9">
      <c r="A556" t="s">
        <v>525</v>
      </c>
      <c r="B556" t="s">
        <v>949</v>
      </c>
      <c r="C556" t="s">
        <v>908</v>
      </c>
      <c r="D556">
        <v>3.9</v>
      </c>
      <c r="E556">
        <v>70</v>
      </c>
      <c r="F556">
        <v>54</v>
      </c>
      <c r="G556">
        <v>2</v>
      </c>
      <c r="H556">
        <v>14</v>
      </c>
      <c r="I556">
        <v>1</v>
      </c>
    </row>
    <row r="557" spans="1:9">
      <c r="A557" t="s">
        <v>288</v>
      </c>
      <c r="B557" t="s">
        <v>1138</v>
      </c>
      <c r="C557" t="s">
        <v>920</v>
      </c>
      <c r="D557">
        <v>4.2045454545454497</v>
      </c>
      <c r="E557">
        <v>44</v>
      </c>
      <c r="F557">
        <v>36</v>
      </c>
      <c r="G557">
        <v>4</v>
      </c>
      <c r="H557">
        <v>4</v>
      </c>
      <c r="I557">
        <v>1</v>
      </c>
    </row>
    <row r="558" spans="1:9">
      <c r="A558" t="s">
        <v>324</v>
      </c>
      <c r="B558" t="s">
        <v>907</v>
      </c>
      <c r="C558" t="s">
        <v>908</v>
      </c>
      <c r="D558">
        <v>4.5098039215686203</v>
      </c>
      <c r="E558">
        <v>51</v>
      </c>
      <c r="F558">
        <v>45</v>
      </c>
      <c r="G558">
        <v>2</v>
      </c>
      <c r="H558">
        <v>4</v>
      </c>
      <c r="I558">
        <v>1</v>
      </c>
    </row>
    <row r="559" spans="1:9">
      <c r="A559" t="s">
        <v>191</v>
      </c>
      <c r="B559" t="s">
        <v>1139</v>
      </c>
      <c r="C559" t="s">
        <v>908</v>
      </c>
      <c r="D559">
        <v>4</v>
      </c>
      <c r="E559">
        <v>219</v>
      </c>
      <c r="F559">
        <v>167</v>
      </c>
      <c r="G559">
        <v>12</v>
      </c>
      <c r="H559">
        <v>40</v>
      </c>
      <c r="I559">
        <v>1</v>
      </c>
    </row>
    <row r="560" spans="1:9">
      <c r="A560" t="s">
        <v>192</v>
      </c>
      <c r="B560" t="s">
        <v>1125</v>
      </c>
      <c r="C560" t="s">
        <v>908</v>
      </c>
      <c r="D560">
        <v>4.3333333333333304</v>
      </c>
      <c r="E560">
        <v>33</v>
      </c>
      <c r="F560">
        <v>29</v>
      </c>
      <c r="G560">
        <v>1</v>
      </c>
      <c r="H560">
        <v>3</v>
      </c>
      <c r="I560">
        <v>1</v>
      </c>
    </row>
    <row r="561" spans="1:9">
      <c r="A561" t="s">
        <v>763</v>
      </c>
      <c r="B561" t="s">
        <v>1061</v>
      </c>
      <c r="C561" t="s">
        <v>930</v>
      </c>
      <c r="D561">
        <v>4.5999999999999996</v>
      </c>
      <c r="E561">
        <v>20</v>
      </c>
      <c r="F561">
        <v>19</v>
      </c>
      <c r="G561">
        <v>0</v>
      </c>
      <c r="H561">
        <v>1</v>
      </c>
      <c r="I561">
        <v>1</v>
      </c>
    </row>
    <row r="562" spans="1:9">
      <c r="A562" t="s">
        <v>443</v>
      </c>
      <c r="B562" t="s">
        <v>927</v>
      </c>
      <c r="C562" t="s">
        <v>908</v>
      </c>
      <c r="D562">
        <v>3.9951923076922999</v>
      </c>
      <c r="E562">
        <v>208</v>
      </c>
      <c r="F562">
        <v>156</v>
      </c>
      <c r="G562">
        <v>17</v>
      </c>
      <c r="H562">
        <v>35</v>
      </c>
      <c r="I562">
        <v>1</v>
      </c>
    </row>
    <row r="563" spans="1:9">
      <c r="A563" t="s">
        <v>129</v>
      </c>
      <c r="B563" t="s">
        <v>1041</v>
      </c>
      <c r="C563" t="s">
        <v>908</v>
      </c>
      <c r="D563">
        <v>4.5151515151515103</v>
      </c>
      <c r="E563">
        <v>99</v>
      </c>
      <c r="F563">
        <v>90</v>
      </c>
      <c r="G563">
        <v>4</v>
      </c>
      <c r="H563">
        <v>5</v>
      </c>
      <c r="I563">
        <v>1</v>
      </c>
    </row>
    <row r="564" spans="1:9">
      <c r="A564" t="s">
        <v>472</v>
      </c>
      <c r="B564" t="s">
        <v>1140</v>
      </c>
      <c r="C564" t="s">
        <v>1040</v>
      </c>
      <c r="D564">
        <v>4.40506329113924</v>
      </c>
      <c r="E564">
        <v>79</v>
      </c>
      <c r="F564">
        <v>68</v>
      </c>
      <c r="G564">
        <v>1</v>
      </c>
      <c r="H564">
        <v>10</v>
      </c>
      <c r="I564">
        <v>1</v>
      </c>
    </row>
    <row r="565" spans="1:9">
      <c r="A565" t="s">
        <v>845</v>
      </c>
      <c r="B565" t="s">
        <v>1141</v>
      </c>
      <c r="C565" t="s">
        <v>913</v>
      </c>
      <c r="D565">
        <v>4.2272727272727204</v>
      </c>
      <c r="E565">
        <v>22</v>
      </c>
      <c r="F565">
        <v>17</v>
      </c>
      <c r="G565">
        <v>2</v>
      </c>
      <c r="H565">
        <v>3</v>
      </c>
      <c r="I565">
        <v>1</v>
      </c>
    </row>
    <row r="566" spans="1:9">
      <c r="A566" t="s">
        <v>808</v>
      </c>
      <c r="B566" t="s">
        <v>998</v>
      </c>
      <c r="C566" t="s">
        <v>930</v>
      </c>
      <c r="D566">
        <v>4.5308641975308603</v>
      </c>
      <c r="E566">
        <v>81</v>
      </c>
      <c r="F566">
        <v>73</v>
      </c>
      <c r="G566">
        <v>3</v>
      </c>
      <c r="H566">
        <v>5</v>
      </c>
      <c r="I566">
        <v>1</v>
      </c>
    </row>
    <row r="567" spans="1:9">
      <c r="A567" s="2" t="s">
        <v>879</v>
      </c>
      <c r="B567" t="s">
        <v>1142</v>
      </c>
      <c r="C567" t="s">
        <v>908</v>
      </c>
      <c r="D567">
        <v>3.8974358974358898</v>
      </c>
      <c r="E567">
        <v>78</v>
      </c>
      <c r="F567">
        <v>55</v>
      </c>
      <c r="G567">
        <v>11</v>
      </c>
      <c r="H567">
        <v>12</v>
      </c>
      <c r="I567">
        <v>1</v>
      </c>
    </row>
    <row r="568" spans="1:9">
      <c r="A568" t="s">
        <v>831</v>
      </c>
      <c r="B568" t="s">
        <v>907</v>
      </c>
      <c r="C568" t="s">
        <v>908</v>
      </c>
      <c r="D568">
        <v>4.2833723653395701</v>
      </c>
      <c r="E568">
        <v>427</v>
      </c>
      <c r="F568">
        <v>348</v>
      </c>
      <c r="G568">
        <v>33</v>
      </c>
      <c r="H568">
        <v>46</v>
      </c>
      <c r="I568">
        <v>1</v>
      </c>
    </row>
    <row r="569" spans="1:9">
      <c r="A569" t="s">
        <v>894</v>
      </c>
      <c r="B569" t="s">
        <v>1143</v>
      </c>
      <c r="C569" t="s">
        <v>913</v>
      </c>
      <c r="D569">
        <v>4.1890482398956896</v>
      </c>
      <c r="E569">
        <v>767</v>
      </c>
      <c r="F569">
        <v>623</v>
      </c>
      <c r="G569">
        <v>53</v>
      </c>
      <c r="H569">
        <v>91</v>
      </c>
      <c r="I569">
        <v>1</v>
      </c>
    </row>
    <row r="570" spans="1:9">
      <c r="A570" t="s">
        <v>106</v>
      </c>
      <c r="B570" t="s">
        <v>1041</v>
      </c>
      <c r="C570" t="s">
        <v>908</v>
      </c>
      <c r="D570">
        <v>4.0921052631578902</v>
      </c>
      <c r="E570">
        <v>76</v>
      </c>
      <c r="F570">
        <v>59</v>
      </c>
      <c r="G570">
        <v>4</v>
      </c>
      <c r="H570">
        <v>13</v>
      </c>
      <c r="I570">
        <v>1</v>
      </c>
    </row>
    <row r="571" spans="1:9">
      <c r="A571" t="s">
        <v>822</v>
      </c>
      <c r="B571" t="s">
        <v>932</v>
      </c>
      <c r="C571" t="s">
        <v>908</v>
      </c>
      <c r="D571">
        <v>3.9130434782608599</v>
      </c>
      <c r="E571">
        <v>46</v>
      </c>
      <c r="F571">
        <v>34</v>
      </c>
      <c r="G571">
        <v>4</v>
      </c>
      <c r="H571">
        <v>8</v>
      </c>
      <c r="I571">
        <v>1</v>
      </c>
    </row>
    <row r="572" spans="1:9">
      <c r="A572" t="s">
        <v>56</v>
      </c>
      <c r="B572" t="s">
        <v>941</v>
      </c>
      <c r="C572" t="s">
        <v>908</v>
      </c>
      <c r="D572">
        <v>4.0384615384615303</v>
      </c>
      <c r="E572">
        <v>26</v>
      </c>
      <c r="F572">
        <v>20</v>
      </c>
      <c r="G572">
        <v>3</v>
      </c>
      <c r="H572">
        <v>3</v>
      </c>
      <c r="I572">
        <v>1</v>
      </c>
    </row>
    <row r="573" spans="1:9">
      <c r="A573" t="s">
        <v>665</v>
      </c>
      <c r="B573" t="s">
        <v>998</v>
      </c>
      <c r="C573" t="s">
        <v>930</v>
      </c>
      <c r="D573">
        <v>4.38846153846153</v>
      </c>
      <c r="E573">
        <v>260</v>
      </c>
      <c r="F573">
        <v>220</v>
      </c>
      <c r="G573">
        <v>18</v>
      </c>
      <c r="H573">
        <v>22</v>
      </c>
      <c r="I573">
        <v>1</v>
      </c>
    </row>
    <row r="574" spans="1:9">
      <c r="A574" t="s">
        <v>418</v>
      </c>
      <c r="B574" t="s">
        <v>1108</v>
      </c>
      <c r="C574" t="s">
        <v>1064</v>
      </c>
      <c r="D574">
        <v>4.6052631578947301</v>
      </c>
      <c r="E574">
        <v>38</v>
      </c>
      <c r="F574">
        <v>36</v>
      </c>
      <c r="G574">
        <v>1</v>
      </c>
      <c r="H574">
        <v>1</v>
      </c>
      <c r="I574">
        <v>1</v>
      </c>
    </row>
    <row r="575" spans="1:9">
      <c r="A575" t="s">
        <v>146</v>
      </c>
      <c r="B575" t="s">
        <v>911</v>
      </c>
      <c r="C575" t="s">
        <v>908</v>
      </c>
      <c r="D575">
        <v>4.0136986301369797</v>
      </c>
      <c r="E575">
        <v>146</v>
      </c>
      <c r="F575">
        <v>114</v>
      </c>
      <c r="G575">
        <v>9</v>
      </c>
      <c r="H575">
        <v>23</v>
      </c>
      <c r="I575">
        <v>1</v>
      </c>
    </row>
    <row r="576" spans="1:9">
      <c r="A576" t="s">
        <v>232</v>
      </c>
      <c r="B576" t="s">
        <v>919</v>
      </c>
      <c r="C576" t="s">
        <v>920</v>
      </c>
      <c r="D576">
        <v>4.3846153846153797</v>
      </c>
      <c r="E576">
        <v>26</v>
      </c>
      <c r="F576">
        <v>21</v>
      </c>
      <c r="G576">
        <v>4</v>
      </c>
      <c r="H576">
        <v>1</v>
      </c>
      <c r="I576">
        <v>1</v>
      </c>
    </row>
    <row r="577" spans="1:9">
      <c r="A577" s="2" t="s">
        <v>548</v>
      </c>
      <c r="B577" t="s">
        <v>907</v>
      </c>
      <c r="C577" t="s">
        <v>908</v>
      </c>
      <c r="D577">
        <v>4.1602209944751296</v>
      </c>
      <c r="E577">
        <v>181</v>
      </c>
      <c r="F577">
        <v>139</v>
      </c>
      <c r="G577">
        <v>14</v>
      </c>
      <c r="H577">
        <v>28</v>
      </c>
      <c r="I577">
        <v>1</v>
      </c>
    </row>
    <row r="578" spans="1:9">
      <c r="A578" t="s">
        <v>668</v>
      </c>
      <c r="B578" t="s">
        <v>907</v>
      </c>
      <c r="C578" t="s">
        <v>908</v>
      </c>
      <c r="D578">
        <v>3.9253731343283498</v>
      </c>
      <c r="E578">
        <v>67</v>
      </c>
      <c r="F578">
        <v>50</v>
      </c>
      <c r="G578">
        <v>6</v>
      </c>
      <c r="H578">
        <v>11</v>
      </c>
      <c r="I578">
        <v>1</v>
      </c>
    </row>
    <row r="579" spans="1:9">
      <c r="A579" t="s">
        <v>376</v>
      </c>
      <c r="B579" t="s">
        <v>907</v>
      </c>
      <c r="C579" t="s">
        <v>908</v>
      </c>
      <c r="D579">
        <v>2.9528301886792399</v>
      </c>
      <c r="E579">
        <v>106</v>
      </c>
      <c r="F579">
        <v>48</v>
      </c>
      <c r="G579">
        <v>12</v>
      </c>
      <c r="H579">
        <v>46</v>
      </c>
      <c r="I579">
        <v>1</v>
      </c>
    </row>
    <row r="580" spans="1:9">
      <c r="A580" t="s">
        <v>43</v>
      </c>
      <c r="B580" t="s">
        <v>1144</v>
      </c>
      <c r="C580" t="s">
        <v>908</v>
      </c>
      <c r="D580">
        <v>4.2916666666666599</v>
      </c>
      <c r="E580">
        <v>24</v>
      </c>
      <c r="F580">
        <v>19</v>
      </c>
      <c r="G580">
        <v>4</v>
      </c>
      <c r="H580">
        <v>1</v>
      </c>
      <c r="I580">
        <v>1</v>
      </c>
    </row>
    <row r="581" spans="1:9">
      <c r="A581" t="s">
        <v>386</v>
      </c>
      <c r="B581" t="s">
        <v>1145</v>
      </c>
      <c r="C581" t="s">
        <v>920</v>
      </c>
      <c r="D581">
        <v>4.5272727272727202</v>
      </c>
      <c r="E581">
        <v>55</v>
      </c>
      <c r="F581">
        <v>48</v>
      </c>
      <c r="G581">
        <v>4</v>
      </c>
      <c r="H581">
        <v>3</v>
      </c>
      <c r="I581">
        <v>1</v>
      </c>
    </row>
    <row r="582" spans="1:9">
      <c r="A582" t="s">
        <v>501</v>
      </c>
      <c r="B582" t="s">
        <v>907</v>
      </c>
      <c r="C582" t="s">
        <v>908</v>
      </c>
      <c r="D582">
        <v>3.88652482269503</v>
      </c>
      <c r="E582">
        <v>141</v>
      </c>
      <c r="F582">
        <v>100</v>
      </c>
      <c r="G582">
        <v>12</v>
      </c>
      <c r="H582">
        <v>29</v>
      </c>
      <c r="I582">
        <v>1</v>
      </c>
    </row>
    <row r="583" spans="1:9">
      <c r="A583" t="s">
        <v>649</v>
      </c>
      <c r="B583" t="s">
        <v>949</v>
      </c>
      <c r="C583" t="s">
        <v>908</v>
      </c>
      <c r="D583">
        <v>4</v>
      </c>
      <c r="E583">
        <v>51</v>
      </c>
      <c r="F583">
        <v>38</v>
      </c>
      <c r="G583">
        <v>4</v>
      </c>
      <c r="H583">
        <v>9</v>
      </c>
      <c r="I583">
        <v>1</v>
      </c>
    </row>
    <row r="584" spans="1:9">
      <c r="A584" t="s">
        <v>545</v>
      </c>
      <c r="B584" t="s">
        <v>921</v>
      </c>
      <c r="C584" t="s">
        <v>908</v>
      </c>
      <c r="D584">
        <v>3.4352941176470502</v>
      </c>
      <c r="E584">
        <v>85</v>
      </c>
      <c r="F584">
        <v>48</v>
      </c>
      <c r="G584">
        <v>14</v>
      </c>
      <c r="H584">
        <v>23</v>
      </c>
      <c r="I584">
        <v>1</v>
      </c>
    </row>
    <row r="585" spans="1:9">
      <c r="A585" t="s">
        <v>676</v>
      </c>
      <c r="B585" t="s">
        <v>1082</v>
      </c>
      <c r="C585" t="s">
        <v>920</v>
      </c>
      <c r="D585">
        <v>4.0545454545454502</v>
      </c>
      <c r="E585">
        <v>55</v>
      </c>
      <c r="F585">
        <v>42</v>
      </c>
      <c r="G585">
        <v>4</v>
      </c>
      <c r="H585">
        <v>9</v>
      </c>
      <c r="I585">
        <v>1</v>
      </c>
    </row>
    <row r="586" spans="1:9">
      <c r="A586" t="s">
        <v>670</v>
      </c>
      <c r="B586" t="s">
        <v>1083</v>
      </c>
      <c r="C586" t="s">
        <v>959</v>
      </c>
      <c r="D586">
        <v>3.88</v>
      </c>
      <c r="E586">
        <v>25</v>
      </c>
      <c r="F586">
        <v>20</v>
      </c>
      <c r="G586">
        <v>0</v>
      </c>
      <c r="H586">
        <v>5</v>
      </c>
      <c r="I586">
        <v>1</v>
      </c>
    </row>
    <row r="587" spans="1:9">
      <c r="A587" t="s">
        <v>700</v>
      </c>
      <c r="B587" t="s">
        <v>972</v>
      </c>
      <c r="C587" t="s">
        <v>913</v>
      </c>
      <c r="D587">
        <v>3.9398496240601499</v>
      </c>
      <c r="E587">
        <v>133</v>
      </c>
      <c r="F587">
        <v>96</v>
      </c>
      <c r="G587">
        <v>15</v>
      </c>
      <c r="H587">
        <v>22</v>
      </c>
      <c r="I587">
        <v>1</v>
      </c>
    </row>
    <row r="588" spans="1:9">
      <c r="A588" t="s">
        <v>224</v>
      </c>
      <c r="B588" t="s">
        <v>916</v>
      </c>
      <c r="C588" t="s">
        <v>908</v>
      </c>
      <c r="D588">
        <v>3.5510204081632599</v>
      </c>
      <c r="E588">
        <v>49</v>
      </c>
      <c r="F588">
        <v>30</v>
      </c>
      <c r="G588">
        <v>8</v>
      </c>
      <c r="H588">
        <v>11</v>
      </c>
      <c r="I588">
        <v>1</v>
      </c>
    </row>
    <row r="589" spans="1:9">
      <c r="A589" t="s">
        <v>527</v>
      </c>
      <c r="B589" t="s">
        <v>1146</v>
      </c>
      <c r="C589" t="s">
        <v>930</v>
      </c>
      <c r="D589">
        <v>4.0535714285714199</v>
      </c>
      <c r="E589">
        <v>112</v>
      </c>
      <c r="F589">
        <v>87</v>
      </c>
      <c r="G589">
        <v>10</v>
      </c>
      <c r="H589">
        <v>15</v>
      </c>
      <c r="I589">
        <v>1</v>
      </c>
    </row>
    <row r="590" spans="1:9">
      <c r="A590" t="s">
        <v>500</v>
      </c>
      <c r="B590" t="s">
        <v>1147</v>
      </c>
      <c r="C590" t="s">
        <v>930</v>
      </c>
      <c r="D590">
        <v>4.3816793893129704</v>
      </c>
      <c r="E590">
        <v>131</v>
      </c>
      <c r="F590">
        <v>113</v>
      </c>
      <c r="G590">
        <v>5</v>
      </c>
      <c r="H590">
        <v>13</v>
      </c>
      <c r="I590">
        <v>1</v>
      </c>
    </row>
    <row r="591" spans="1:9">
      <c r="A591" t="s">
        <v>411</v>
      </c>
      <c r="B591" t="s">
        <v>907</v>
      </c>
      <c r="C591" t="s">
        <v>908</v>
      </c>
      <c r="D591">
        <v>4.4565217391304301</v>
      </c>
      <c r="E591">
        <v>92</v>
      </c>
      <c r="F591">
        <v>79</v>
      </c>
      <c r="G591">
        <v>4</v>
      </c>
      <c r="H591">
        <v>9</v>
      </c>
      <c r="I591">
        <v>1</v>
      </c>
    </row>
    <row r="592" spans="1:9">
      <c r="A592" t="s">
        <v>471</v>
      </c>
      <c r="B592" t="s">
        <v>1136</v>
      </c>
      <c r="C592" t="s">
        <v>1027</v>
      </c>
      <c r="D592">
        <v>4.25</v>
      </c>
      <c r="E592">
        <v>52</v>
      </c>
      <c r="F592">
        <v>39</v>
      </c>
      <c r="G592">
        <v>11</v>
      </c>
      <c r="H592">
        <v>2</v>
      </c>
      <c r="I592">
        <v>1</v>
      </c>
    </row>
    <row r="593" spans="1:9">
      <c r="A593" t="s">
        <v>655</v>
      </c>
      <c r="B593" t="s">
        <v>1037</v>
      </c>
      <c r="C593" t="s">
        <v>959</v>
      </c>
      <c r="D593">
        <v>3.9183673469387701</v>
      </c>
      <c r="E593">
        <v>49</v>
      </c>
      <c r="F593">
        <v>35</v>
      </c>
      <c r="G593">
        <v>5</v>
      </c>
      <c r="H593">
        <v>9</v>
      </c>
      <c r="I593">
        <v>1</v>
      </c>
    </row>
    <row r="594" spans="1:9">
      <c r="A594" t="s">
        <v>643</v>
      </c>
      <c r="B594" t="s">
        <v>1148</v>
      </c>
      <c r="C594" t="s">
        <v>925</v>
      </c>
      <c r="D594">
        <v>4.5686274509803901</v>
      </c>
      <c r="E594">
        <v>102</v>
      </c>
      <c r="F594">
        <v>92</v>
      </c>
      <c r="G594">
        <v>5</v>
      </c>
      <c r="H594">
        <v>5</v>
      </c>
      <c r="I594">
        <v>1</v>
      </c>
    </row>
    <row r="595" spans="1:9">
      <c r="A595" t="s">
        <v>847</v>
      </c>
      <c r="B595" t="s">
        <v>981</v>
      </c>
      <c r="C595" t="s">
        <v>913</v>
      </c>
      <c r="D595">
        <v>4.4772727272727204</v>
      </c>
      <c r="E595">
        <v>44</v>
      </c>
      <c r="F595">
        <v>40</v>
      </c>
      <c r="G595">
        <v>1</v>
      </c>
      <c r="H595">
        <v>3</v>
      </c>
      <c r="I595">
        <v>1</v>
      </c>
    </row>
    <row r="596" spans="1:9">
      <c r="A596" t="s">
        <v>135</v>
      </c>
      <c r="B596" t="s">
        <v>907</v>
      </c>
      <c r="C596" t="s">
        <v>908</v>
      </c>
      <c r="D596">
        <v>4.4347826086956497</v>
      </c>
      <c r="E596">
        <v>69</v>
      </c>
      <c r="F596">
        <v>60</v>
      </c>
      <c r="G596">
        <v>5</v>
      </c>
      <c r="H596">
        <v>4</v>
      </c>
      <c r="I596">
        <v>1</v>
      </c>
    </row>
    <row r="597" spans="1:9">
      <c r="A597" t="s">
        <v>844</v>
      </c>
      <c r="B597" t="s">
        <v>1149</v>
      </c>
      <c r="C597" t="s">
        <v>913</v>
      </c>
      <c r="D597">
        <v>4.1590909090909003</v>
      </c>
      <c r="E597">
        <v>44</v>
      </c>
      <c r="F597">
        <v>33</v>
      </c>
      <c r="G597">
        <v>5</v>
      </c>
      <c r="H597">
        <v>6</v>
      </c>
      <c r="I597">
        <v>1</v>
      </c>
    </row>
    <row r="598" spans="1:9">
      <c r="A598" t="s">
        <v>650</v>
      </c>
      <c r="B598" t="s">
        <v>932</v>
      </c>
      <c r="C598" t="s">
        <v>908</v>
      </c>
      <c r="D598">
        <v>3.0681818181818099</v>
      </c>
      <c r="E598">
        <v>44</v>
      </c>
      <c r="F598">
        <v>23</v>
      </c>
      <c r="G598">
        <v>3</v>
      </c>
      <c r="H598">
        <v>18</v>
      </c>
      <c r="I598">
        <v>1</v>
      </c>
    </row>
    <row r="599" spans="1:9">
      <c r="A599" t="s">
        <v>377</v>
      </c>
      <c r="B599" t="s">
        <v>919</v>
      </c>
      <c r="C599" t="s">
        <v>920</v>
      </c>
      <c r="D599">
        <v>4.0543478260869499</v>
      </c>
      <c r="E599">
        <v>92</v>
      </c>
      <c r="F599">
        <v>69</v>
      </c>
      <c r="G599">
        <v>7</v>
      </c>
      <c r="H599">
        <v>16</v>
      </c>
      <c r="I599">
        <v>1</v>
      </c>
    </row>
    <row r="600" spans="1:9">
      <c r="A600" t="s">
        <v>481</v>
      </c>
      <c r="B600" t="s">
        <v>931</v>
      </c>
      <c r="C600" t="s">
        <v>913</v>
      </c>
      <c r="D600">
        <v>3.1315789473684199</v>
      </c>
      <c r="E600">
        <v>38</v>
      </c>
      <c r="F600">
        <v>19</v>
      </c>
      <c r="G600">
        <v>6</v>
      </c>
      <c r="H600">
        <v>13</v>
      </c>
      <c r="I600">
        <v>1</v>
      </c>
    </row>
    <row r="601" spans="1:9">
      <c r="A601" t="s">
        <v>632</v>
      </c>
      <c r="B601" t="s">
        <v>1036</v>
      </c>
      <c r="C601" t="s">
        <v>908</v>
      </c>
      <c r="D601">
        <v>3.7619047619047601</v>
      </c>
      <c r="E601">
        <v>21</v>
      </c>
      <c r="F601">
        <v>15</v>
      </c>
      <c r="G601">
        <v>1</v>
      </c>
      <c r="H601">
        <v>5</v>
      </c>
      <c r="I601">
        <v>1</v>
      </c>
    </row>
    <row r="602" spans="1:9">
      <c r="A602" t="s">
        <v>286</v>
      </c>
      <c r="B602" t="s">
        <v>1150</v>
      </c>
      <c r="C602" t="s">
        <v>913</v>
      </c>
      <c r="D602">
        <v>3.5</v>
      </c>
      <c r="E602">
        <v>26</v>
      </c>
      <c r="F602">
        <v>15</v>
      </c>
      <c r="G602">
        <v>2</v>
      </c>
      <c r="H602">
        <v>9</v>
      </c>
      <c r="I602">
        <v>1</v>
      </c>
    </row>
    <row r="603" spans="1:9">
      <c r="A603" t="s">
        <v>469</v>
      </c>
      <c r="B603" t="s">
        <v>1151</v>
      </c>
      <c r="C603" t="s">
        <v>913</v>
      </c>
      <c r="D603">
        <v>4.2</v>
      </c>
      <c r="E603">
        <v>45</v>
      </c>
      <c r="F603">
        <v>37</v>
      </c>
      <c r="G603">
        <v>3</v>
      </c>
      <c r="H603">
        <v>5</v>
      </c>
      <c r="I603">
        <v>1</v>
      </c>
    </row>
    <row r="604" spans="1:9">
      <c r="A604" t="s">
        <v>546</v>
      </c>
      <c r="B604" t="s">
        <v>1041</v>
      </c>
      <c r="C604" t="s">
        <v>908</v>
      </c>
      <c r="D604">
        <v>3.7647058823529398</v>
      </c>
      <c r="E604">
        <v>102</v>
      </c>
      <c r="F604">
        <v>70</v>
      </c>
      <c r="G604">
        <v>12</v>
      </c>
      <c r="H604">
        <v>20</v>
      </c>
      <c r="I604">
        <v>1</v>
      </c>
    </row>
    <row r="605" spans="1:9">
      <c r="A605" t="s">
        <v>441</v>
      </c>
      <c r="B605" t="s">
        <v>941</v>
      </c>
      <c r="C605" t="s">
        <v>908</v>
      </c>
      <c r="D605">
        <v>3.6140350877192899</v>
      </c>
      <c r="E605">
        <v>57</v>
      </c>
      <c r="F605">
        <v>35</v>
      </c>
      <c r="G605">
        <v>7</v>
      </c>
      <c r="H605">
        <v>15</v>
      </c>
      <c r="I605">
        <v>1</v>
      </c>
    </row>
    <row r="606" spans="1:9">
      <c r="A606" t="s">
        <v>793</v>
      </c>
      <c r="B606" t="s">
        <v>907</v>
      </c>
      <c r="C606" t="s">
        <v>908</v>
      </c>
      <c r="D606">
        <v>3.9565217391304301</v>
      </c>
      <c r="E606">
        <v>23</v>
      </c>
      <c r="F606">
        <v>16</v>
      </c>
      <c r="G606">
        <v>0</v>
      </c>
      <c r="H606">
        <v>7</v>
      </c>
      <c r="I606">
        <v>1</v>
      </c>
    </row>
    <row r="607" spans="1:9">
      <c r="A607" t="s">
        <v>59</v>
      </c>
      <c r="B607" t="s">
        <v>1109</v>
      </c>
      <c r="C607" t="s">
        <v>908</v>
      </c>
      <c r="D607">
        <v>3.9245283018867898</v>
      </c>
      <c r="E607">
        <v>53</v>
      </c>
      <c r="F607">
        <v>38</v>
      </c>
      <c r="G607">
        <v>5</v>
      </c>
      <c r="H607">
        <v>10</v>
      </c>
      <c r="I607">
        <v>1</v>
      </c>
    </row>
    <row r="608" spans="1:9">
      <c r="A608" t="s">
        <v>58</v>
      </c>
      <c r="B608" t="s">
        <v>933</v>
      </c>
      <c r="C608" t="s">
        <v>913</v>
      </c>
      <c r="D608">
        <v>2.7916666666666599</v>
      </c>
      <c r="E608">
        <v>24</v>
      </c>
      <c r="F608">
        <v>10</v>
      </c>
      <c r="G608">
        <v>2</v>
      </c>
      <c r="H608">
        <v>12</v>
      </c>
      <c r="I608">
        <v>1</v>
      </c>
    </row>
    <row r="609" spans="1:9">
      <c r="A609" t="s">
        <v>680</v>
      </c>
      <c r="B609" t="s">
        <v>1152</v>
      </c>
      <c r="C609" t="s">
        <v>925</v>
      </c>
      <c r="D609">
        <v>4.2222222222222197</v>
      </c>
      <c r="E609">
        <v>54</v>
      </c>
      <c r="F609">
        <v>45</v>
      </c>
      <c r="G609">
        <v>1</v>
      </c>
      <c r="H609">
        <v>8</v>
      </c>
      <c r="I609">
        <v>1</v>
      </c>
    </row>
    <row r="610" spans="1:9">
      <c r="A610" t="s">
        <v>251</v>
      </c>
      <c r="B610" t="s">
        <v>1148</v>
      </c>
      <c r="C610" t="s">
        <v>925</v>
      </c>
      <c r="D610">
        <v>4.2682926829268197</v>
      </c>
      <c r="E610">
        <v>41</v>
      </c>
      <c r="F610">
        <v>34</v>
      </c>
      <c r="G610">
        <v>3</v>
      </c>
      <c r="H610">
        <v>4</v>
      </c>
      <c r="I610">
        <v>1</v>
      </c>
    </row>
    <row r="611" spans="1:9">
      <c r="A611" t="s">
        <v>786</v>
      </c>
      <c r="B611" t="s">
        <v>1123</v>
      </c>
      <c r="C611" t="s">
        <v>959</v>
      </c>
      <c r="D611">
        <v>3.78151260504201</v>
      </c>
      <c r="E611">
        <v>119</v>
      </c>
      <c r="F611">
        <v>77</v>
      </c>
      <c r="G611">
        <v>18</v>
      </c>
      <c r="H611">
        <v>24</v>
      </c>
      <c r="I611">
        <v>1</v>
      </c>
    </row>
    <row r="612" spans="1:9">
      <c r="A612" t="s">
        <v>119</v>
      </c>
      <c r="B612" t="s">
        <v>934</v>
      </c>
      <c r="C612" t="s">
        <v>935</v>
      </c>
      <c r="D612">
        <v>4.95</v>
      </c>
      <c r="E612">
        <v>20</v>
      </c>
      <c r="F612">
        <v>20</v>
      </c>
      <c r="G612">
        <v>0</v>
      </c>
      <c r="H612">
        <v>0</v>
      </c>
      <c r="I612">
        <v>1</v>
      </c>
    </row>
    <row r="613" spans="1:9">
      <c r="A613" t="s">
        <v>859</v>
      </c>
      <c r="B613" t="s">
        <v>911</v>
      </c>
      <c r="C613" t="s">
        <v>908</v>
      </c>
      <c r="D613">
        <v>3.2857142857142798</v>
      </c>
      <c r="E613">
        <v>133</v>
      </c>
      <c r="F613">
        <v>74</v>
      </c>
      <c r="G613">
        <v>12</v>
      </c>
      <c r="H613">
        <v>47</v>
      </c>
      <c r="I613">
        <v>1</v>
      </c>
    </row>
    <row r="614" spans="1:9">
      <c r="A614" t="s">
        <v>371</v>
      </c>
      <c r="B614" t="s">
        <v>907</v>
      </c>
      <c r="C614" t="s">
        <v>908</v>
      </c>
      <c r="D614">
        <v>4.5</v>
      </c>
      <c r="E614">
        <v>26</v>
      </c>
      <c r="F614">
        <v>23</v>
      </c>
      <c r="G614">
        <v>1</v>
      </c>
      <c r="H614">
        <v>2</v>
      </c>
      <c r="I614">
        <v>1</v>
      </c>
    </row>
    <row r="615" spans="1:9">
      <c r="A615" t="s">
        <v>697</v>
      </c>
      <c r="B615" t="s">
        <v>919</v>
      </c>
      <c r="C615" t="s">
        <v>920</v>
      </c>
      <c r="D615">
        <v>4.4000000000000004</v>
      </c>
      <c r="E615">
        <v>30</v>
      </c>
      <c r="F615">
        <v>26</v>
      </c>
      <c r="G615">
        <v>2</v>
      </c>
      <c r="H615">
        <v>2</v>
      </c>
      <c r="I615">
        <v>1</v>
      </c>
    </row>
    <row r="616" spans="1:9">
      <c r="A616" t="s">
        <v>122</v>
      </c>
      <c r="B616" t="s">
        <v>907</v>
      </c>
      <c r="C616" t="s">
        <v>908</v>
      </c>
      <c r="D616">
        <v>4.1083333333333298</v>
      </c>
      <c r="E616">
        <v>360</v>
      </c>
      <c r="F616">
        <v>281</v>
      </c>
      <c r="G616">
        <v>28</v>
      </c>
      <c r="H616">
        <v>51</v>
      </c>
      <c r="I616">
        <v>1</v>
      </c>
    </row>
    <row r="617" spans="1:9">
      <c r="A617" t="s">
        <v>563</v>
      </c>
      <c r="B617" t="s">
        <v>1054</v>
      </c>
      <c r="C617" t="s">
        <v>925</v>
      </c>
      <c r="D617">
        <v>4.0888888888888797</v>
      </c>
      <c r="E617">
        <v>45</v>
      </c>
      <c r="F617">
        <v>36</v>
      </c>
      <c r="G617">
        <v>3</v>
      </c>
      <c r="H617">
        <v>6</v>
      </c>
      <c r="I617">
        <v>1</v>
      </c>
    </row>
    <row r="618" spans="1:9">
      <c r="A618" t="s">
        <v>163</v>
      </c>
      <c r="B618" t="s">
        <v>1105</v>
      </c>
      <c r="C618" t="s">
        <v>913</v>
      </c>
      <c r="D618">
        <v>3.6857142857142802</v>
      </c>
      <c r="E618">
        <v>35</v>
      </c>
      <c r="F618">
        <v>22</v>
      </c>
      <c r="G618">
        <v>7</v>
      </c>
      <c r="H618">
        <v>6</v>
      </c>
      <c r="I618">
        <v>1</v>
      </c>
    </row>
    <row r="619" spans="1:9">
      <c r="A619" t="s">
        <v>689</v>
      </c>
      <c r="B619" t="s">
        <v>1153</v>
      </c>
      <c r="C619" t="s">
        <v>908</v>
      </c>
      <c r="D619">
        <v>4.15483870967741</v>
      </c>
      <c r="E619">
        <v>155</v>
      </c>
      <c r="F619">
        <v>123</v>
      </c>
      <c r="G619">
        <v>10</v>
      </c>
      <c r="H619">
        <v>22</v>
      </c>
      <c r="I619">
        <v>1</v>
      </c>
    </row>
    <row r="620" spans="1:9">
      <c r="A620" t="s">
        <v>367</v>
      </c>
      <c r="B620" t="s">
        <v>919</v>
      </c>
      <c r="C620" t="s">
        <v>920</v>
      </c>
      <c r="D620">
        <v>4.5238095238095202</v>
      </c>
      <c r="E620">
        <v>21</v>
      </c>
      <c r="F620">
        <v>19</v>
      </c>
      <c r="G620">
        <v>1</v>
      </c>
      <c r="H620">
        <v>1</v>
      </c>
      <c r="I620">
        <v>1</v>
      </c>
    </row>
    <row r="621" spans="1:9">
      <c r="A621" t="s">
        <v>745</v>
      </c>
      <c r="B621" t="s">
        <v>932</v>
      </c>
      <c r="C621" t="s">
        <v>908</v>
      </c>
      <c r="D621">
        <v>4.4000000000000004</v>
      </c>
      <c r="E621">
        <v>70</v>
      </c>
      <c r="F621">
        <v>59</v>
      </c>
      <c r="G621">
        <v>4</v>
      </c>
      <c r="H621">
        <v>7</v>
      </c>
      <c r="I621">
        <v>1</v>
      </c>
    </row>
    <row r="622" spans="1:9">
      <c r="A622" s="2" t="s">
        <v>16</v>
      </c>
      <c r="B622" t="s">
        <v>911</v>
      </c>
      <c r="C622" t="s">
        <v>908</v>
      </c>
      <c r="D622">
        <v>3.75</v>
      </c>
      <c r="E622">
        <v>48</v>
      </c>
      <c r="F622">
        <v>28</v>
      </c>
      <c r="G622">
        <v>11</v>
      </c>
      <c r="H622">
        <v>9</v>
      </c>
      <c r="I622">
        <v>1</v>
      </c>
    </row>
    <row r="623" spans="1:9">
      <c r="A623" t="s">
        <v>172</v>
      </c>
      <c r="B623" t="s">
        <v>1039</v>
      </c>
      <c r="C623" t="s">
        <v>1040</v>
      </c>
      <c r="D623">
        <v>4.6590909090909003</v>
      </c>
      <c r="E623">
        <v>44</v>
      </c>
      <c r="F623">
        <v>41</v>
      </c>
      <c r="G623">
        <v>1</v>
      </c>
      <c r="H623">
        <v>2</v>
      </c>
      <c r="I623">
        <v>1</v>
      </c>
    </row>
    <row r="624" spans="1:9">
      <c r="A624" t="s">
        <v>509</v>
      </c>
      <c r="B624" t="s">
        <v>907</v>
      </c>
      <c r="C624" t="s">
        <v>908</v>
      </c>
      <c r="D624">
        <v>4.6363636363636296</v>
      </c>
      <c r="E624">
        <v>22</v>
      </c>
      <c r="F624">
        <v>20</v>
      </c>
      <c r="G624">
        <v>1</v>
      </c>
      <c r="H624">
        <v>1</v>
      </c>
      <c r="I624">
        <v>1</v>
      </c>
    </row>
    <row r="625" spans="1:9">
      <c r="A625" t="s">
        <v>692</v>
      </c>
      <c r="B625" t="s">
        <v>1001</v>
      </c>
      <c r="C625" t="s">
        <v>908</v>
      </c>
      <c r="D625">
        <v>4.1436170212765902</v>
      </c>
      <c r="E625">
        <v>188</v>
      </c>
      <c r="F625">
        <v>144</v>
      </c>
      <c r="G625">
        <v>20</v>
      </c>
      <c r="H625">
        <v>24</v>
      </c>
      <c r="I625">
        <v>1</v>
      </c>
    </row>
    <row r="626" spans="1:9">
      <c r="A626" t="s">
        <v>283</v>
      </c>
      <c r="B626" t="s">
        <v>1154</v>
      </c>
      <c r="C626" t="s">
        <v>908</v>
      </c>
      <c r="D626">
        <v>3.7567567567567499</v>
      </c>
      <c r="E626">
        <v>37</v>
      </c>
      <c r="F626">
        <v>24</v>
      </c>
      <c r="G626">
        <v>4</v>
      </c>
      <c r="H626">
        <v>9</v>
      </c>
      <c r="I626">
        <v>1</v>
      </c>
    </row>
    <row r="627" spans="1:9">
      <c r="A627" t="s">
        <v>424</v>
      </c>
      <c r="B627" t="s">
        <v>1054</v>
      </c>
      <c r="C627" t="s">
        <v>925</v>
      </c>
      <c r="D627">
        <v>4.5999999999999996</v>
      </c>
      <c r="E627">
        <v>20</v>
      </c>
      <c r="F627">
        <v>18</v>
      </c>
      <c r="G627">
        <v>0</v>
      </c>
      <c r="H627">
        <v>2</v>
      </c>
      <c r="I627">
        <v>1</v>
      </c>
    </row>
    <row r="628" spans="1:9">
      <c r="A628" t="s">
        <v>612</v>
      </c>
      <c r="B628" t="s">
        <v>907</v>
      </c>
      <c r="C628" t="s">
        <v>908</v>
      </c>
      <c r="D628">
        <v>4.0232558139534804</v>
      </c>
      <c r="E628">
        <v>172</v>
      </c>
      <c r="F628">
        <v>130</v>
      </c>
      <c r="G628">
        <v>14</v>
      </c>
      <c r="H628">
        <v>28</v>
      </c>
      <c r="I628">
        <v>1</v>
      </c>
    </row>
    <row r="629" spans="1:9">
      <c r="A629" t="s">
        <v>225</v>
      </c>
      <c r="B629" t="s">
        <v>907</v>
      </c>
      <c r="C629" t="s">
        <v>908</v>
      </c>
      <c r="D629">
        <v>4.3368421052631501</v>
      </c>
      <c r="E629">
        <v>95</v>
      </c>
      <c r="F629">
        <v>84</v>
      </c>
      <c r="G629">
        <v>2</v>
      </c>
      <c r="H629">
        <v>9</v>
      </c>
      <c r="I629">
        <v>1</v>
      </c>
    </row>
    <row r="630" spans="1:9">
      <c r="A630" t="s">
        <v>838</v>
      </c>
      <c r="B630" t="s">
        <v>1074</v>
      </c>
      <c r="C630" t="s">
        <v>908</v>
      </c>
      <c r="D630">
        <v>3.9523809523809499</v>
      </c>
      <c r="E630">
        <v>42</v>
      </c>
      <c r="F630">
        <v>30</v>
      </c>
      <c r="G630">
        <v>3</v>
      </c>
      <c r="H630">
        <v>9</v>
      </c>
      <c r="I630">
        <v>1</v>
      </c>
    </row>
    <row r="631" spans="1:9">
      <c r="A631" t="s">
        <v>401</v>
      </c>
      <c r="B631" t="s">
        <v>1155</v>
      </c>
      <c r="C631" t="s">
        <v>908</v>
      </c>
      <c r="D631">
        <v>4.13043478260869</v>
      </c>
      <c r="E631">
        <v>23</v>
      </c>
      <c r="F631">
        <v>17</v>
      </c>
      <c r="G631">
        <v>3</v>
      </c>
      <c r="H631">
        <v>3</v>
      </c>
      <c r="I631">
        <v>1</v>
      </c>
    </row>
    <row r="632" spans="1:9">
      <c r="A632" t="s">
        <v>577</v>
      </c>
      <c r="B632" t="s">
        <v>916</v>
      </c>
      <c r="C632" t="s">
        <v>908</v>
      </c>
      <c r="D632">
        <v>4.5250000000000004</v>
      </c>
      <c r="E632">
        <v>80</v>
      </c>
      <c r="F632">
        <v>73</v>
      </c>
      <c r="G632">
        <v>1</v>
      </c>
      <c r="H632">
        <v>6</v>
      </c>
      <c r="I632">
        <v>1</v>
      </c>
    </row>
    <row r="633" spans="1:9">
      <c r="A633" t="s">
        <v>825</v>
      </c>
      <c r="B633" t="s">
        <v>1037</v>
      </c>
      <c r="C633" t="s">
        <v>959</v>
      </c>
      <c r="D633">
        <v>4.2051282051282</v>
      </c>
      <c r="E633">
        <v>39</v>
      </c>
      <c r="F633">
        <v>32</v>
      </c>
      <c r="G633">
        <v>2</v>
      </c>
      <c r="H633">
        <v>5</v>
      </c>
      <c r="I633">
        <v>1</v>
      </c>
    </row>
    <row r="634" spans="1:9">
      <c r="A634" s="2" t="s">
        <v>679</v>
      </c>
      <c r="B634" t="s">
        <v>907</v>
      </c>
      <c r="C634" t="s">
        <v>908</v>
      </c>
      <c r="D634">
        <v>4.1497005988023901</v>
      </c>
      <c r="E634">
        <v>167</v>
      </c>
      <c r="F634">
        <v>135</v>
      </c>
      <c r="G634">
        <v>12</v>
      </c>
      <c r="H634">
        <v>20</v>
      </c>
      <c r="I634">
        <v>1</v>
      </c>
    </row>
    <row r="635" spans="1:9">
      <c r="A635" t="s">
        <v>570</v>
      </c>
      <c r="B635" t="s">
        <v>1094</v>
      </c>
      <c r="C635" t="s">
        <v>908</v>
      </c>
      <c r="D635">
        <v>4.0277777777777697</v>
      </c>
      <c r="E635">
        <v>36</v>
      </c>
      <c r="F635">
        <v>27</v>
      </c>
      <c r="G635">
        <v>3</v>
      </c>
      <c r="H635">
        <v>6</v>
      </c>
      <c r="I635">
        <v>1</v>
      </c>
    </row>
    <row r="636" spans="1:9">
      <c r="A636" t="s">
        <v>814</v>
      </c>
      <c r="B636" t="s">
        <v>907</v>
      </c>
      <c r="C636" t="s">
        <v>908</v>
      </c>
      <c r="D636">
        <v>4.24</v>
      </c>
      <c r="E636">
        <v>25</v>
      </c>
      <c r="F636">
        <v>21</v>
      </c>
      <c r="G636">
        <v>1</v>
      </c>
      <c r="H636">
        <v>3</v>
      </c>
      <c r="I636">
        <v>1</v>
      </c>
    </row>
    <row r="637" spans="1:9">
      <c r="A637" t="s">
        <v>882</v>
      </c>
      <c r="B637" t="s">
        <v>970</v>
      </c>
      <c r="C637" t="s">
        <v>908</v>
      </c>
      <c r="D637">
        <v>4.0714285714285703</v>
      </c>
      <c r="E637">
        <v>28</v>
      </c>
      <c r="F637">
        <v>20</v>
      </c>
      <c r="G637">
        <v>5</v>
      </c>
      <c r="H637">
        <v>3</v>
      </c>
      <c r="I637">
        <v>1</v>
      </c>
    </row>
    <row r="638" spans="1:9">
      <c r="A638" t="s">
        <v>480</v>
      </c>
      <c r="B638" t="s">
        <v>974</v>
      </c>
      <c r="C638" t="s">
        <v>930</v>
      </c>
      <c r="D638">
        <v>4.3478260869565197</v>
      </c>
      <c r="E638">
        <v>46</v>
      </c>
      <c r="F638">
        <v>40</v>
      </c>
      <c r="G638">
        <v>3</v>
      </c>
      <c r="H638">
        <v>3</v>
      </c>
      <c r="I638">
        <v>1</v>
      </c>
    </row>
    <row r="639" spans="1:9">
      <c r="A639" t="s">
        <v>821</v>
      </c>
      <c r="B639" t="s">
        <v>1117</v>
      </c>
      <c r="C639" t="s">
        <v>920</v>
      </c>
      <c r="D639">
        <v>4.1282051282051198</v>
      </c>
      <c r="E639">
        <v>39</v>
      </c>
      <c r="F639">
        <v>29</v>
      </c>
      <c r="G639">
        <v>4</v>
      </c>
      <c r="H639">
        <v>6</v>
      </c>
      <c r="I639">
        <v>1</v>
      </c>
    </row>
    <row r="640" spans="1:9">
      <c r="A640" t="s">
        <v>24</v>
      </c>
      <c r="B640" t="s">
        <v>985</v>
      </c>
      <c r="C640" t="s">
        <v>913</v>
      </c>
      <c r="D640">
        <v>4.07042253521126</v>
      </c>
      <c r="E640">
        <v>71</v>
      </c>
      <c r="F640">
        <v>57</v>
      </c>
      <c r="G640">
        <v>0</v>
      </c>
      <c r="H640">
        <v>14</v>
      </c>
      <c r="I640">
        <v>1</v>
      </c>
    </row>
    <row r="641" spans="1:9">
      <c r="A641" t="s">
        <v>150</v>
      </c>
      <c r="B641" t="s">
        <v>1156</v>
      </c>
      <c r="C641" t="s">
        <v>959</v>
      </c>
      <c r="D641">
        <v>4.2972972972972903</v>
      </c>
      <c r="E641">
        <v>37</v>
      </c>
      <c r="F641">
        <v>30</v>
      </c>
      <c r="G641">
        <v>2</v>
      </c>
      <c r="H641">
        <v>5</v>
      </c>
      <c r="I641">
        <v>1</v>
      </c>
    </row>
    <row r="642" spans="1:9">
      <c r="A642" t="s">
        <v>510</v>
      </c>
      <c r="B642" t="s">
        <v>907</v>
      </c>
      <c r="C642" t="s">
        <v>908</v>
      </c>
      <c r="D642">
        <v>4.4235294117646999</v>
      </c>
      <c r="E642">
        <v>85</v>
      </c>
      <c r="F642">
        <v>75</v>
      </c>
      <c r="G642">
        <v>2</v>
      </c>
      <c r="H642">
        <v>8</v>
      </c>
      <c r="I642">
        <v>1</v>
      </c>
    </row>
    <row r="643" spans="1:9">
      <c r="A643" t="s">
        <v>463</v>
      </c>
      <c r="B643" t="s">
        <v>938</v>
      </c>
      <c r="C643" t="s">
        <v>908</v>
      </c>
      <c r="D643">
        <v>4.4210526315789398</v>
      </c>
      <c r="E643">
        <v>38</v>
      </c>
      <c r="F643">
        <v>32</v>
      </c>
      <c r="G643">
        <v>4</v>
      </c>
      <c r="H643">
        <v>2</v>
      </c>
      <c r="I643">
        <v>1</v>
      </c>
    </row>
    <row r="644" spans="1:9">
      <c r="A644" t="s">
        <v>579</v>
      </c>
      <c r="B644" t="s">
        <v>1070</v>
      </c>
      <c r="C644" t="s">
        <v>908</v>
      </c>
      <c r="D644">
        <v>4.0750000000000002</v>
      </c>
      <c r="E644">
        <v>40</v>
      </c>
      <c r="F644">
        <v>31</v>
      </c>
      <c r="G644">
        <v>3</v>
      </c>
      <c r="H644">
        <v>6</v>
      </c>
      <c r="I644">
        <v>1</v>
      </c>
    </row>
    <row r="645" spans="1:9">
      <c r="A645" t="s">
        <v>856</v>
      </c>
      <c r="B645" t="s">
        <v>907</v>
      </c>
      <c r="C645" t="s">
        <v>908</v>
      </c>
      <c r="D645">
        <v>2.6578947368421</v>
      </c>
      <c r="E645">
        <v>38</v>
      </c>
      <c r="F645">
        <v>15</v>
      </c>
      <c r="G645">
        <v>3</v>
      </c>
      <c r="H645">
        <v>20</v>
      </c>
      <c r="I645">
        <v>1</v>
      </c>
    </row>
    <row r="646" spans="1:9">
      <c r="A646" t="s">
        <v>303</v>
      </c>
      <c r="B646" t="s">
        <v>979</v>
      </c>
      <c r="C646" t="s">
        <v>913</v>
      </c>
      <c r="D646">
        <v>3.8048780487804801</v>
      </c>
      <c r="E646">
        <v>41</v>
      </c>
      <c r="F646">
        <v>27</v>
      </c>
      <c r="G646">
        <v>4</v>
      </c>
      <c r="H646">
        <v>10</v>
      </c>
      <c r="I646">
        <v>1</v>
      </c>
    </row>
    <row r="647" spans="1:9">
      <c r="A647" t="s">
        <v>331</v>
      </c>
      <c r="B647" t="s">
        <v>907</v>
      </c>
      <c r="C647" t="s">
        <v>908</v>
      </c>
      <c r="D647">
        <v>3.0357142857142798</v>
      </c>
      <c r="E647">
        <v>84</v>
      </c>
      <c r="F647">
        <v>42</v>
      </c>
      <c r="G647">
        <v>4</v>
      </c>
      <c r="H647">
        <v>38</v>
      </c>
      <c r="I647">
        <v>1</v>
      </c>
    </row>
    <row r="648" spans="1:9">
      <c r="A648" t="s">
        <v>710</v>
      </c>
      <c r="B648" t="s">
        <v>914</v>
      </c>
      <c r="C648" t="s">
        <v>908</v>
      </c>
      <c r="D648">
        <v>4.6363636363636296</v>
      </c>
      <c r="E648">
        <v>22</v>
      </c>
      <c r="F648">
        <v>20</v>
      </c>
      <c r="G648">
        <v>0</v>
      </c>
      <c r="H648">
        <v>2</v>
      </c>
      <c r="I648">
        <v>1</v>
      </c>
    </row>
    <row r="649" spans="1:9">
      <c r="A649" t="s">
        <v>565</v>
      </c>
      <c r="B649" t="s">
        <v>916</v>
      </c>
      <c r="C649" t="s">
        <v>908</v>
      </c>
      <c r="D649">
        <v>3.28</v>
      </c>
      <c r="E649">
        <v>25</v>
      </c>
      <c r="F649">
        <v>14</v>
      </c>
      <c r="G649">
        <v>2</v>
      </c>
      <c r="H649">
        <v>9</v>
      </c>
      <c r="I649">
        <v>1</v>
      </c>
    </row>
    <row r="650" spans="1:9">
      <c r="A650" t="s">
        <v>588</v>
      </c>
      <c r="B650" t="s">
        <v>988</v>
      </c>
      <c r="C650" t="s">
        <v>908</v>
      </c>
      <c r="D650">
        <v>4.5333333333333297</v>
      </c>
      <c r="E650">
        <v>45</v>
      </c>
      <c r="F650">
        <v>41</v>
      </c>
      <c r="G650">
        <v>1</v>
      </c>
      <c r="H650">
        <v>3</v>
      </c>
      <c r="I650">
        <v>1</v>
      </c>
    </row>
    <row r="651" spans="1:9">
      <c r="A651" t="s">
        <v>675</v>
      </c>
      <c r="B651" t="s">
        <v>1053</v>
      </c>
      <c r="C651" t="s">
        <v>1045</v>
      </c>
      <c r="D651">
        <v>4.2</v>
      </c>
      <c r="E651">
        <v>90</v>
      </c>
      <c r="F651">
        <v>70</v>
      </c>
      <c r="G651">
        <v>10</v>
      </c>
      <c r="H651">
        <v>10</v>
      </c>
      <c r="I651">
        <v>1</v>
      </c>
    </row>
    <row r="652" spans="1:9">
      <c r="A652" t="s">
        <v>543</v>
      </c>
      <c r="B652" t="s">
        <v>907</v>
      </c>
      <c r="C652" t="s">
        <v>908</v>
      </c>
      <c r="D652">
        <v>4.0333333333333297</v>
      </c>
      <c r="E652">
        <v>90</v>
      </c>
      <c r="F652">
        <v>68</v>
      </c>
      <c r="G652">
        <v>6</v>
      </c>
      <c r="H652">
        <v>16</v>
      </c>
      <c r="I652">
        <v>1</v>
      </c>
    </row>
    <row r="653" spans="1:9">
      <c r="A653" t="s">
        <v>554</v>
      </c>
      <c r="B653" t="s">
        <v>907</v>
      </c>
      <c r="C653" t="s">
        <v>908</v>
      </c>
      <c r="D653">
        <v>4.4634146341463401</v>
      </c>
      <c r="E653">
        <v>41</v>
      </c>
      <c r="F653">
        <v>35</v>
      </c>
      <c r="G653">
        <v>3</v>
      </c>
      <c r="H653">
        <v>3</v>
      </c>
      <c r="I653">
        <v>1</v>
      </c>
    </row>
    <row r="654" spans="1:9">
      <c r="A654" t="s">
        <v>87</v>
      </c>
      <c r="B654" t="s">
        <v>907</v>
      </c>
      <c r="C654" t="s">
        <v>908</v>
      </c>
      <c r="D654">
        <v>4.1818181818181799</v>
      </c>
      <c r="E654">
        <v>22</v>
      </c>
      <c r="F654">
        <v>18</v>
      </c>
      <c r="G654">
        <v>1</v>
      </c>
      <c r="H654">
        <v>3</v>
      </c>
      <c r="I654">
        <v>1</v>
      </c>
    </row>
    <row r="655" spans="1:9">
      <c r="A655" t="s">
        <v>626</v>
      </c>
      <c r="B655" t="s">
        <v>938</v>
      </c>
      <c r="C655" t="s">
        <v>908</v>
      </c>
      <c r="D655">
        <v>3.9411764705882302</v>
      </c>
      <c r="E655">
        <v>68</v>
      </c>
      <c r="F655">
        <v>50</v>
      </c>
      <c r="G655">
        <v>6</v>
      </c>
      <c r="H655">
        <v>12</v>
      </c>
      <c r="I655">
        <v>1</v>
      </c>
    </row>
    <row r="656" spans="1:9">
      <c r="A656" t="s">
        <v>607</v>
      </c>
      <c r="B656" t="s">
        <v>907</v>
      </c>
      <c r="C656" t="s">
        <v>908</v>
      </c>
      <c r="D656">
        <v>4.3103448275862002</v>
      </c>
      <c r="E656">
        <v>29</v>
      </c>
      <c r="F656">
        <v>25</v>
      </c>
      <c r="G656">
        <v>1</v>
      </c>
      <c r="H656">
        <v>3</v>
      </c>
      <c r="I656">
        <v>1</v>
      </c>
    </row>
    <row r="657" spans="1:9">
      <c r="A657" t="s">
        <v>238</v>
      </c>
      <c r="B657" t="s">
        <v>907</v>
      </c>
      <c r="C657" t="s">
        <v>908</v>
      </c>
      <c r="D657">
        <v>4.4186046511627897</v>
      </c>
      <c r="E657">
        <v>43</v>
      </c>
      <c r="F657">
        <v>37</v>
      </c>
      <c r="G657">
        <v>3</v>
      </c>
      <c r="H657">
        <v>3</v>
      </c>
      <c r="I657">
        <v>1</v>
      </c>
    </row>
    <row r="658" spans="1:9">
      <c r="A658" t="s">
        <v>718</v>
      </c>
      <c r="B658" t="s">
        <v>907</v>
      </c>
      <c r="C658" t="s">
        <v>908</v>
      </c>
      <c r="D658">
        <v>3.7250000000000001</v>
      </c>
      <c r="E658">
        <v>40</v>
      </c>
      <c r="F658">
        <v>24</v>
      </c>
      <c r="G658">
        <v>9</v>
      </c>
      <c r="H658">
        <v>7</v>
      </c>
      <c r="I658">
        <v>1</v>
      </c>
    </row>
    <row r="659" spans="1:9">
      <c r="A659" t="s">
        <v>788</v>
      </c>
      <c r="B659" t="s">
        <v>1104</v>
      </c>
      <c r="C659" t="s">
        <v>908</v>
      </c>
      <c r="D659">
        <v>4.2844827586206797</v>
      </c>
      <c r="E659">
        <v>116</v>
      </c>
      <c r="F659">
        <v>97</v>
      </c>
      <c r="G659">
        <v>6</v>
      </c>
      <c r="H659">
        <v>13</v>
      </c>
      <c r="I659">
        <v>1</v>
      </c>
    </row>
    <row r="660" spans="1:9">
      <c r="A660" t="s">
        <v>412</v>
      </c>
      <c r="B660" t="s">
        <v>1157</v>
      </c>
      <c r="C660" t="s">
        <v>908</v>
      </c>
      <c r="D660">
        <v>4.4228855721393003</v>
      </c>
      <c r="E660">
        <v>201</v>
      </c>
      <c r="F660">
        <v>178</v>
      </c>
      <c r="G660">
        <v>11</v>
      </c>
      <c r="H660">
        <v>12</v>
      </c>
      <c r="I660">
        <v>1</v>
      </c>
    </row>
    <row r="661" spans="1:9">
      <c r="A661" t="s">
        <v>159</v>
      </c>
      <c r="B661" t="s">
        <v>1008</v>
      </c>
      <c r="C661" t="s">
        <v>908</v>
      </c>
      <c r="D661">
        <v>4.1555555555555497</v>
      </c>
      <c r="E661">
        <v>45</v>
      </c>
      <c r="F661">
        <v>32</v>
      </c>
      <c r="G661">
        <v>9</v>
      </c>
      <c r="H661">
        <v>4</v>
      </c>
      <c r="I661">
        <v>1</v>
      </c>
    </row>
    <row r="662" spans="1:9">
      <c r="A662" t="s">
        <v>877</v>
      </c>
      <c r="B662" t="s">
        <v>916</v>
      </c>
      <c r="C662" t="s">
        <v>908</v>
      </c>
      <c r="D662">
        <v>4.3571428571428497</v>
      </c>
      <c r="E662">
        <v>28</v>
      </c>
      <c r="F662">
        <v>24</v>
      </c>
      <c r="G662">
        <v>0</v>
      </c>
      <c r="H662">
        <v>4</v>
      </c>
      <c r="I662">
        <v>1</v>
      </c>
    </row>
    <row r="663" spans="1:9">
      <c r="A663" t="s">
        <v>544</v>
      </c>
      <c r="B663" t="s">
        <v>1010</v>
      </c>
      <c r="C663" t="s">
        <v>908</v>
      </c>
      <c r="D663">
        <v>3.85245901639344</v>
      </c>
      <c r="E663">
        <v>122</v>
      </c>
      <c r="F663">
        <v>85</v>
      </c>
      <c r="G663">
        <v>15</v>
      </c>
      <c r="H663">
        <v>22</v>
      </c>
      <c r="I663">
        <v>1</v>
      </c>
    </row>
    <row r="664" spans="1:9">
      <c r="A664" t="s">
        <v>574</v>
      </c>
      <c r="B664" t="s">
        <v>929</v>
      </c>
      <c r="C664" t="s">
        <v>930</v>
      </c>
      <c r="D664">
        <v>3.71875</v>
      </c>
      <c r="E664">
        <v>128</v>
      </c>
      <c r="F664">
        <v>85</v>
      </c>
      <c r="G664">
        <v>11</v>
      </c>
      <c r="H664">
        <v>32</v>
      </c>
      <c r="I664">
        <v>1</v>
      </c>
    </row>
    <row r="665" spans="1:9">
      <c r="A665" t="s">
        <v>765</v>
      </c>
      <c r="B665" t="s">
        <v>1124</v>
      </c>
      <c r="C665" t="s">
        <v>959</v>
      </c>
      <c r="D665">
        <v>4.4545454545454497</v>
      </c>
      <c r="E665">
        <v>22</v>
      </c>
      <c r="F665">
        <v>19</v>
      </c>
      <c r="G665">
        <v>2</v>
      </c>
      <c r="H665">
        <v>1</v>
      </c>
      <c r="I665">
        <v>1</v>
      </c>
    </row>
    <row r="666" spans="1:9">
      <c r="A666" t="s">
        <v>84</v>
      </c>
      <c r="B666" t="s">
        <v>1158</v>
      </c>
      <c r="C666" t="s">
        <v>908</v>
      </c>
      <c r="D666">
        <v>3.85328185328185</v>
      </c>
      <c r="E666">
        <v>259</v>
      </c>
      <c r="F666">
        <v>180</v>
      </c>
      <c r="G666">
        <v>21</v>
      </c>
      <c r="H666">
        <v>58</v>
      </c>
      <c r="I666">
        <v>1</v>
      </c>
    </row>
    <row r="667" spans="1:9">
      <c r="A667" t="s">
        <v>536</v>
      </c>
      <c r="B667" t="s">
        <v>919</v>
      </c>
      <c r="C667" t="s">
        <v>920</v>
      </c>
      <c r="D667">
        <v>4.4472843450479198</v>
      </c>
      <c r="E667">
        <v>313</v>
      </c>
      <c r="F667">
        <v>270</v>
      </c>
      <c r="G667">
        <v>17</v>
      </c>
      <c r="H667">
        <v>26</v>
      </c>
      <c r="I667">
        <v>1</v>
      </c>
    </row>
    <row r="668" spans="1:9">
      <c r="A668" t="s">
        <v>327</v>
      </c>
      <c r="B668" t="s">
        <v>938</v>
      </c>
      <c r="C668" t="s">
        <v>908</v>
      </c>
      <c r="D668">
        <v>3.3170731707317</v>
      </c>
      <c r="E668">
        <v>41</v>
      </c>
      <c r="F668">
        <v>23</v>
      </c>
      <c r="G668">
        <v>5</v>
      </c>
      <c r="H668">
        <v>13</v>
      </c>
      <c r="I668">
        <v>1</v>
      </c>
    </row>
    <row r="669" spans="1:9">
      <c r="A669" t="s">
        <v>496</v>
      </c>
      <c r="B669" t="s">
        <v>936</v>
      </c>
      <c r="C669" t="s">
        <v>925</v>
      </c>
      <c r="D669">
        <v>3</v>
      </c>
      <c r="E669">
        <v>28</v>
      </c>
      <c r="F669">
        <v>14</v>
      </c>
      <c r="G669">
        <v>0</v>
      </c>
      <c r="H669">
        <v>14</v>
      </c>
      <c r="I669">
        <v>1</v>
      </c>
    </row>
    <row r="670" spans="1:9">
      <c r="A670" t="s">
        <v>121</v>
      </c>
      <c r="B670" t="s">
        <v>1012</v>
      </c>
      <c r="C670" t="s">
        <v>908</v>
      </c>
      <c r="D670">
        <v>4.48888888888888</v>
      </c>
      <c r="E670">
        <v>45</v>
      </c>
      <c r="F670">
        <v>39</v>
      </c>
      <c r="G670">
        <v>2</v>
      </c>
      <c r="H670">
        <v>4</v>
      </c>
      <c r="I670">
        <v>1</v>
      </c>
    </row>
    <row r="671" spans="1:9">
      <c r="A671" t="s">
        <v>108</v>
      </c>
      <c r="B671" t="s">
        <v>1069</v>
      </c>
      <c r="C671" t="s">
        <v>908</v>
      </c>
      <c r="D671">
        <v>4.5106382978723403</v>
      </c>
      <c r="E671">
        <v>47</v>
      </c>
      <c r="F671">
        <v>42</v>
      </c>
      <c r="G671">
        <v>2</v>
      </c>
      <c r="H671">
        <v>3</v>
      </c>
      <c r="I671">
        <v>1</v>
      </c>
    </row>
    <row r="672" spans="1:9">
      <c r="A672" s="2" t="s">
        <v>794</v>
      </c>
      <c r="B672" t="s">
        <v>907</v>
      </c>
      <c r="C672" t="s">
        <v>908</v>
      </c>
      <c r="D672">
        <v>4.3833333333333302</v>
      </c>
      <c r="E672">
        <v>60</v>
      </c>
      <c r="F672">
        <v>52</v>
      </c>
      <c r="G672">
        <v>3</v>
      </c>
      <c r="H672">
        <v>5</v>
      </c>
      <c r="I672">
        <v>1</v>
      </c>
    </row>
    <row r="673" spans="1:9">
      <c r="A673" t="s">
        <v>134</v>
      </c>
      <c r="B673" t="s">
        <v>1159</v>
      </c>
      <c r="C673" t="s">
        <v>908</v>
      </c>
      <c r="D673">
        <v>4.3014925373134298</v>
      </c>
      <c r="E673">
        <v>335</v>
      </c>
      <c r="F673">
        <v>276</v>
      </c>
      <c r="G673">
        <v>21</v>
      </c>
      <c r="H673">
        <v>38</v>
      </c>
      <c r="I673">
        <v>1</v>
      </c>
    </row>
    <row r="674" spans="1:9">
      <c r="A674" t="s">
        <v>888</v>
      </c>
      <c r="B674" t="s">
        <v>1160</v>
      </c>
      <c r="C674" t="s">
        <v>1064</v>
      </c>
      <c r="D674">
        <v>4.4545454545454497</v>
      </c>
      <c r="E674">
        <v>22</v>
      </c>
      <c r="F674">
        <v>19</v>
      </c>
      <c r="G674">
        <v>2</v>
      </c>
      <c r="H674">
        <v>1</v>
      </c>
      <c r="I674">
        <v>1</v>
      </c>
    </row>
    <row r="675" spans="1:9">
      <c r="A675" t="s">
        <v>278</v>
      </c>
      <c r="B675" t="s">
        <v>1161</v>
      </c>
      <c r="C675" t="s">
        <v>930</v>
      </c>
      <c r="D675">
        <v>3.96</v>
      </c>
      <c r="E675">
        <v>25</v>
      </c>
      <c r="F675">
        <v>19</v>
      </c>
      <c r="G675">
        <v>0</v>
      </c>
      <c r="H675">
        <v>6</v>
      </c>
      <c r="I675">
        <v>1</v>
      </c>
    </row>
    <row r="676" spans="1:9">
      <c r="A676" t="s">
        <v>156</v>
      </c>
      <c r="B676" t="s">
        <v>938</v>
      </c>
      <c r="C676" t="s">
        <v>908</v>
      </c>
      <c r="D676">
        <v>4.0431266846361096</v>
      </c>
      <c r="E676">
        <v>371</v>
      </c>
      <c r="F676">
        <v>293</v>
      </c>
      <c r="G676">
        <v>16</v>
      </c>
      <c r="H676">
        <v>62</v>
      </c>
      <c r="I676">
        <v>1</v>
      </c>
    </row>
    <row r="677" spans="1:9">
      <c r="A677" t="s">
        <v>170</v>
      </c>
      <c r="B677" t="s">
        <v>907</v>
      </c>
      <c r="C677" t="s">
        <v>908</v>
      </c>
      <c r="D677">
        <v>4.0285714285714196</v>
      </c>
      <c r="E677">
        <v>35</v>
      </c>
      <c r="F677">
        <v>27</v>
      </c>
      <c r="G677">
        <v>2</v>
      </c>
      <c r="H677">
        <v>6</v>
      </c>
      <c r="I677">
        <v>1</v>
      </c>
    </row>
    <row r="678" spans="1:9">
      <c r="A678" t="s">
        <v>489</v>
      </c>
      <c r="B678" t="s">
        <v>1121</v>
      </c>
      <c r="C678" t="s">
        <v>913</v>
      </c>
      <c r="D678">
        <v>4.1333333333333302</v>
      </c>
      <c r="E678">
        <v>30</v>
      </c>
      <c r="F678">
        <v>25</v>
      </c>
      <c r="G678">
        <v>1</v>
      </c>
      <c r="H678">
        <v>4</v>
      </c>
      <c r="I678">
        <v>1</v>
      </c>
    </row>
    <row r="679" spans="1:9">
      <c r="A679" t="s">
        <v>457</v>
      </c>
      <c r="B679" t="s">
        <v>1162</v>
      </c>
      <c r="C679" t="s">
        <v>913</v>
      </c>
      <c r="D679">
        <v>4.1666666666666599</v>
      </c>
      <c r="E679">
        <v>42</v>
      </c>
      <c r="F679">
        <v>34</v>
      </c>
      <c r="G679">
        <v>2</v>
      </c>
      <c r="H679">
        <v>6</v>
      </c>
      <c r="I679">
        <v>1</v>
      </c>
    </row>
    <row r="680" spans="1:9">
      <c r="A680" t="s">
        <v>341</v>
      </c>
      <c r="B680" t="s">
        <v>1163</v>
      </c>
      <c r="C680" t="s">
        <v>920</v>
      </c>
      <c r="D680">
        <v>4.5689655172413701</v>
      </c>
      <c r="E680">
        <v>58</v>
      </c>
      <c r="F680">
        <v>53</v>
      </c>
      <c r="G680">
        <v>2</v>
      </c>
      <c r="H680">
        <v>3</v>
      </c>
      <c r="I680">
        <v>1</v>
      </c>
    </row>
    <row r="681" spans="1:9">
      <c r="A681" t="s">
        <v>207</v>
      </c>
      <c r="B681" t="s">
        <v>921</v>
      </c>
      <c r="C681" t="s">
        <v>908</v>
      </c>
      <c r="D681">
        <v>4.0476190476190403</v>
      </c>
      <c r="E681">
        <v>84</v>
      </c>
      <c r="F681">
        <v>64</v>
      </c>
      <c r="G681">
        <v>7</v>
      </c>
      <c r="H681">
        <v>13</v>
      </c>
      <c r="I681">
        <v>1</v>
      </c>
    </row>
    <row r="682" spans="1:9">
      <c r="A682" t="s">
        <v>528</v>
      </c>
      <c r="B682" t="s">
        <v>907</v>
      </c>
      <c r="C682" t="s">
        <v>908</v>
      </c>
      <c r="D682">
        <v>3.9722222222222201</v>
      </c>
      <c r="E682">
        <v>36</v>
      </c>
      <c r="F682">
        <v>26</v>
      </c>
      <c r="G682">
        <v>3</v>
      </c>
      <c r="H682">
        <v>7</v>
      </c>
      <c r="I682">
        <v>1</v>
      </c>
    </row>
    <row r="683" spans="1:9">
      <c r="A683" t="s">
        <v>319</v>
      </c>
      <c r="B683" t="s">
        <v>907</v>
      </c>
      <c r="C683" t="s">
        <v>908</v>
      </c>
      <c r="D683">
        <v>4.0192307692307603</v>
      </c>
      <c r="E683">
        <v>52</v>
      </c>
      <c r="F683">
        <v>43</v>
      </c>
      <c r="G683">
        <v>0</v>
      </c>
      <c r="H683">
        <v>9</v>
      </c>
      <c r="I683">
        <v>1</v>
      </c>
    </row>
    <row r="684" spans="1:9">
      <c r="A684" t="s">
        <v>47</v>
      </c>
      <c r="B684" t="s">
        <v>1050</v>
      </c>
      <c r="C684" t="s">
        <v>908</v>
      </c>
      <c r="D684">
        <v>4.1642857142857101</v>
      </c>
      <c r="E684">
        <v>140</v>
      </c>
      <c r="F684">
        <v>114</v>
      </c>
      <c r="G684">
        <v>11</v>
      </c>
      <c r="H684">
        <v>15</v>
      </c>
      <c r="I684">
        <v>1</v>
      </c>
    </row>
    <row r="685" spans="1:9">
      <c r="A685" t="s">
        <v>556</v>
      </c>
      <c r="B685" t="s">
        <v>907</v>
      </c>
      <c r="C685" t="s">
        <v>908</v>
      </c>
      <c r="D685">
        <v>3.72463768115942</v>
      </c>
      <c r="E685">
        <v>138</v>
      </c>
      <c r="F685">
        <v>96</v>
      </c>
      <c r="G685">
        <v>12</v>
      </c>
      <c r="H685">
        <v>30</v>
      </c>
      <c r="I685">
        <v>1</v>
      </c>
    </row>
    <row r="686" spans="1:9">
      <c r="A686" t="s">
        <v>624</v>
      </c>
      <c r="B686" t="s">
        <v>907</v>
      </c>
      <c r="C686" t="s">
        <v>908</v>
      </c>
      <c r="D686">
        <v>4.2857142857142803</v>
      </c>
      <c r="E686">
        <v>210</v>
      </c>
      <c r="F686">
        <v>173</v>
      </c>
      <c r="G686">
        <v>21</v>
      </c>
      <c r="H686">
        <v>16</v>
      </c>
      <c r="I686">
        <v>1</v>
      </c>
    </row>
    <row r="687" spans="1:9">
      <c r="A687" t="s">
        <v>46</v>
      </c>
      <c r="B687" t="s">
        <v>1125</v>
      </c>
      <c r="C687" t="s">
        <v>908</v>
      </c>
      <c r="D687">
        <v>3.5180722891566201</v>
      </c>
      <c r="E687">
        <v>83</v>
      </c>
      <c r="F687">
        <v>51</v>
      </c>
      <c r="G687">
        <v>8</v>
      </c>
      <c r="H687">
        <v>24</v>
      </c>
      <c r="I687">
        <v>1</v>
      </c>
    </row>
    <row r="688" spans="1:9">
      <c r="A688" t="s">
        <v>890</v>
      </c>
      <c r="B688" t="s">
        <v>1071</v>
      </c>
      <c r="C688" t="s">
        <v>920</v>
      </c>
      <c r="D688">
        <v>4.5625</v>
      </c>
      <c r="E688">
        <v>32</v>
      </c>
      <c r="F688">
        <v>29</v>
      </c>
      <c r="G688">
        <v>2</v>
      </c>
      <c r="H688">
        <v>1</v>
      </c>
      <c r="I688">
        <v>1</v>
      </c>
    </row>
    <row r="689" spans="1:9">
      <c r="A689" t="s">
        <v>499</v>
      </c>
      <c r="B689" t="s">
        <v>907</v>
      </c>
      <c r="C689" t="s">
        <v>908</v>
      </c>
      <c r="D689">
        <v>4.2</v>
      </c>
      <c r="E689">
        <v>55</v>
      </c>
      <c r="F689">
        <v>44</v>
      </c>
      <c r="G689">
        <v>4</v>
      </c>
      <c r="H689">
        <v>7</v>
      </c>
      <c r="I689">
        <v>1</v>
      </c>
    </row>
    <row r="690" spans="1:9">
      <c r="A690" t="s">
        <v>407</v>
      </c>
      <c r="B690" t="s">
        <v>1141</v>
      </c>
      <c r="C690" t="s">
        <v>913</v>
      </c>
      <c r="D690">
        <v>4.2608695652173898</v>
      </c>
      <c r="E690">
        <v>69</v>
      </c>
      <c r="F690">
        <v>60</v>
      </c>
      <c r="G690">
        <v>4</v>
      </c>
      <c r="H690">
        <v>5</v>
      </c>
      <c r="I690">
        <v>1</v>
      </c>
    </row>
    <row r="691" spans="1:9">
      <c r="A691" t="s">
        <v>493</v>
      </c>
      <c r="B691" t="s">
        <v>932</v>
      </c>
      <c r="C691" t="s">
        <v>908</v>
      </c>
      <c r="D691">
        <v>4.0810810810810798</v>
      </c>
      <c r="E691">
        <v>185</v>
      </c>
      <c r="F691">
        <v>143</v>
      </c>
      <c r="G691">
        <v>16</v>
      </c>
      <c r="H691">
        <v>26</v>
      </c>
      <c r="I691">
        <v>1</v>
      </c>
    </row>
    <row r="692" spans="1:9">
      <c r="A692" t="s">
        <v>136</v>
      </c>
      <c r="B692" t="s">
        <v>919</v>
      </c>
      <c r="C692" t="s">
        <v>920</v>
      </c>
      <c r="D692">
        <v>4.6666666666666599</v>
      </c>
      <c r="E692">
        <v>30</v>
      </c>
      <c r="F692">
        <v>29</v>
      </c>
      <c r="G692">
        <v>0</v>
      </c>
      <c r="H692">
        <v>1</v>
      </c>
      <c r="I692">
        <v>1</v>
      </c>
    </row>
    <row r="693" spans="1:9">
      <c r="A693" t="s">
        <v>112</v>
      </c>
      <c r="B693" t="s">
        <v>916</v>
      </c>
      <c r="C693" t="s">
        <v>908</v>
      </c>
      <c r="D693">
        <v>4.0695748205411304</v>
      </c>
      <c r="E693">
        <v>1811</v>
      </c>
      <c r="F693">
        <v>1371</v>
      </c>
      <c r="G693">
        <v>168</v>
      </c>
      <c r="H693">
        <v>272</v>
      </c>
      <c r="I693">
        <v>1</v>
      </c>
    </row>
    <row r="694" spans="1:9">
      <c r="A694" t="s">
        <v>520</v>
      </c>
      <c r="B694" t="s">
        <v>933</v>
      </c>
      <c r="C694" t="s">
        <v>913</v>
      </c>
      <c r="D694">
        <v>4.4736842105263097</v>
      </c>
      <c r="E694">
        <v>38</v>
      </c>
      <c r="F694">
        <v>33</v>
      </c>
      <c r="G694">
        <v>2</v>
      </c>
      <c r="H694">
        <v>3</v>
      </c>
      <c r="I694">
        <v>1</v>
      </c>
    </row>
    <row r="695" spans="1:9">
      <c r="A695" t="s">
        <v>253</v>
      </c>
      <c r="B695" t="s">
        <v>932</v>
      </c>
      <c r="C695" t="s">
        <v>908</v>
      </c>
      <c r="D695">
        <v>4.0476190476190403</v>
      </c>
      <c r="E695">
        <v>63</v>
      </c>
      <c r="F695">
        <v>46</v>
      </c>
      <c r="G695">
        <v>11</v>
      </c>
      <c r="H695">
        <v>6</v>
      </c>
      <c r="I695">
        <v>1</v>
      </c>
    </row>
    <row r="696" spans="1:9">
      <c r="A696" t="s">
        <v>458</v>
      </c>
      <c r="B696" t="s">
        <v>911</v>
      </c>
      <c r="C696" t="s">
        <v>908</v>
      </c>
      <c r="D696">
        <v>3.85198555956678</v>
      </c>
      <c r="E696">
        <v>831</v>
      </c>
      <c r="F696">
        <v>571</v>
      </c>
      <c r="G696">
        <v>95</v>
      </c>
      <c r="H696">
        <v>165</v>
      </c>
      <c r="I696">
        <v>1</v>
      </c>
    </row>
    <row r="697" spans="1:9">
      <c r="A697" t="s">
        <v>789</v>
      </c>
      <c r="B697" t="s">
        <v>919</v>
      </c>
      <c r="C697" t="s">
        <v>920</v>
      </c>
      <c r="D697">
        <v>4.2827225130890003</v>
      </c>
      <c r="E697">
        <v>191</v>
      </c>
      <c r="F697">
        <v>159</v>
      </c>
      <c r="G697">
        <v>10</v>
      </c>
      <c r="H697">
        <v>22</v>
      </c>
      <c r="I697">
        <v>1</v>
      </c>
    </row>
    <row r="698" spans="1:9">
      <c r="A698" t="s">
        <v>306</v>
      </c>
      <c r="B698" t="s">
        <v>919</v>
      </c>
      <c r="C698" t="s">
        <v>908</v>
      </c>
      <c r="D698">
        <v>4.4393939393939297</v>
      </c>
      <c r="E698">
        <v>66</v>
      </c>
      <c r="F698">
        <v>57</v>
      </c>
      <c r="G698">
        <v>4</v>
      </c>
      <c r="H698">
        <v>5</v>
      </c>
      <c r="I698">
        <v>1</v>
      </c>
    </row>
    <row r="699" spans="1:9">
      <c r="A699" t="s">
        <v>721</v>
      </c>
      <c r="B699" t="s">
        <v>1164</v>
      </c>
      <c r="C699" t="s">
        <v>908</v>
      </c>
      <c r="D699">
        <v>4.3846153846153797</v>
      </c>
      <c r="E699">
        <v>26</v>
      </c>
      <c r="F699">
        <v>22</v>
      </c>
      <c r="G699">
        <v>1</v>
      </c>
      <c r="H699">
        <v>3</v>
      </c>
      <c r="I699">
        <v>1</v>
      </c>
    </row>
    <row r="700" spans="1:9">
      <c r="A700" t="s">
        <v>391</v>
      </c>
      <c r="B700" t="s">
        <v>907</v>
      </c>
      <c r="C700" t="s">
        <v>908</v>
      </c>
      <c r="D700">
        <v>3.6792452830188598</v>
      </c>
      <c r="E700">
        <v>53</v>
      </c>
      <c r="F700">
        <v>34</v>
      </c>
      <c r="G700">
        <v>5</v>
      </c>
      <c r="H700">
        <v>14</v>
      </c>
      <c r="I700">
        <v>1</v>
      </c>
    </row>
    <row r="701" spans="1:9">
      <c r="A701" t="s">
        <v>175</v>
      </c>
      <c r="B701" t="s">
        <v>941</v>
      </c>
      <c r="C701" t="s">
        <v>908</v>
      </c>
      <c r="D701">
        <v>3.8396946564885401</v>
      </c>
      <c r="E701">
        <v>131</v>
      </c>
      <c r="F701">
        <v>93</v>
      </c>
      <c r="G701">
        <v>10</v>
      </c>
      <c r="H701">
        <v>28</v>
      </c>
      <c r="I701">
        <v>1</v>
      </c>
    </row>
    <row r="702" spans="1:9">
      <c r="A702" t="s">
        <v>326</v>
      </c>
      <c r="B702" t="s">
        <v>1037</v>
      </c>
      <c r="C702" t="s">
        <v>959</v>
      </c>
      <c r="D702">
        <v>4.5</v>
      </c>
      <c r="E702">
        <v>32</v>
      </c>
      <c r="F702">
        <v>29</v>
      </c>
      <c r="G702">
        <v>1</v>
      </c>
      <c r="H702">
        <v>2</v>
      </c>
      <c r="I702">
        <v>1</v>
      </c>
    </row>
    <row r="703" spans="1:9">
      <c r="A703" t="s">
        <v>881</v>
      </c>
      <c r="B703" t="s">
        <v>1025</v>
      </c>
      <c r="C703" t="s">
        <v>930</v>
      </c>
      <c r="D703">
        <v>4.2089552238805901</v>
      </c>
      <c r="E703">
        <v>67</v>
      </c>
      <c r="F703">
        <v>55</v>
      </c>
      <c r="G703">
        <v>3</v>
      </c>
      <c r="H703">
        <v>9</v>
      </c>
      <c r="I703">
        <v>1</v>
      </c>
    </row>
    <row r="704" spans="1:9">
      <c r="A704" t="s">
        <v>309</v>
      </c>
      <c r="B704" t="s">
        <v>907</v>
      </c>
      <c r="C704" t="s">
        <v>908</v>
      </c>
      <c r="D704">
        <v>3.8652482269503499</v>
      </c>
      <c r="E704">
        <v>141</v>
      </c>
      <c r="F704">
        <v>102</v>
      </c>
      <c r="G704">
        <v>10</v>
      </c>
      <c r="H704">
        <v>29</v>
      </c>
      <c r="I704">
        <v>1</v>
      </c>
    </row>
    <row r="705" spans="1:9">
      <c r="A705" t="s">
        <v>728</v>
      </c>
      <c r="B705" t="s">
        <v>1022</v>
      </c>
      <c r="C705" t="s">
        <v>908</v>
      </c>
      <c r="D705">
        <v>4.6666666666666599</v>
      </c>
      <c r="E705">
        <v>24</v>
      </c>
      <c r="F705">
        <v>21</v>
      </c>
      <c r="G705">
        <v>3</v>
      </c>
      <c r="H705">
        <v>0</v>
      </c>
      <c r="I705">
        <v>1</v>
      </c>
    </row>
    <row r="706" spans="1:9">
      <c r="A706" t="s">
        <v>748</v>
      </c>
      <c r="B706" t="s">
        <v>1165</v>
      </c>
      <c r="C706" t="s">
        <v>913</v>
      </c>
      <c r="D706">
        <v>4.1071428571428497</v>
      </c>
      <c r="E706">
        <v>84</v>
      </c>
      <c r="F706">
        <v>65</v>
      </c>
      <c r="G706">
        <v>3</v>
      </c>
      <c r="H706">
        <v>16</v>
      </c>
      <c r="I706">
        <v>1</v>
      </c>
    </row>
    <row r="707" spans="1:9">
      <c r="A707" t="s">
        <v>787</v>
      </c>
      <c r="B707" t="s">
        <v>907</v>
      </c>
      <c r="C707" t="s">
        <v>908</v>
      </c>
      <c r="D707">
        <v>4.1923076923076898</v>
      </c>
      <c r="E707">
        <v>26</v>
      </c>
      <c r="F707">
        <v>21</v>
      </c>
      <c r="G707">
        <v>2</v>
      </c>
      <c r="H707">
        <v>3</v>
      </c>
      <c r="I707">
        <v>1</v>
      </c>
    </row>
    <row r="708" spans="1:9">
      <c r="A708" t="s">
        <v>35</v>
      </c>
      <c r="B708" t="s">
        <v>907</v>
      </c>
      <c r="C708" t="s">
        <v>908</v>
      </c>
      <c r="D708">
        <v>4.14975845410628</v>
      </c>
      <c r="E708">
        <v>207</v>
      </c>
      <c r="F708">
        <v>164</v>
      </c>
      <c r="G708">
        <v>18</v>
      </c>
      <c r="H708">
        <v>25</v>
      </c>
      <c r="I708">
        <v>1</v>
      </c>
    </row>
    <row r="709" spans="1:9">
      <c r="A709" t="s">
        <v>813</v>
      </c>
      <c r="B709" t="s">
        <v>1166</v>
      </c>
      <c r="C709" t="s">
        <v>908</v>
      </c>
      <c r="D709">
        <v>3.7</v>
      </c>
      <c r="E709">
        <v>40</v>
      </c>
      <c r="F709">
        <v>26</v>
      </c>
      <c r="G709">
        <v>4</v>
      </c>
      <c r="H709">
        <v>10</v>
      </c>
      <c r="I709">
        <v>1</v>
      </c>
    </row>
    <row r="710" spans="1:9">
      <c r="A710" t="s">
        <v>42</v>
      </c>
      <c r="B710" t="s">
        <v>985</v>
      </c>
      <c r="C710" t="s">
        <v>913</v>
      </c>
      <c r="D710">
        <v>3.5238095238095202</v>
      </c>
      <c r="E710">
        <v>21</v>
      </c>
      <c r="F710">
        <v>10</v>
      </c>
      <c r="G710">
        <v>7</v>
      </c>
      <c r="H710">
        <v>4</v>
      </c>
      <c r="I710">
        <v>1</v>
      </c>
    </row>
    <row r="711" spans="1:9">
      <c r="A711" t="s">
        <v>678</v>
      </c>
      <c r="B711" t="s">
        <v>1016</v>
      </c>
      <c r="C711" t="s">
        <v>908</v>
      </c>
      <c r="D711">
        <v>3.9308510638297798</v>
      </c>
      <c r="E711">
        <v>188</v>
      </c>
      <c r="F711">
        <v>136</v>
      </c>
      <c r="G711">
        <v>15</v>
      </c>
      <c r="H711">
        <v>37</v>
      </c>
      <c r="I711">
        <v>1</v>
      </c>
    </row>
    <row r="712" spans="1:9">
      <c r="A712" t="s">
        <v>895</v>
      </c>
      <c r="B712" t="s">
        <v>907</v>
      </c>
      <c r="C712" t="s">
        <v>908</v>
      </c>
      <c r="D712">
        <v>4.125</v>
      </c>
      <c r="E712">
        <v>24</v>
      </c>
      <c r="F712">
        <v>20</v>
      </c>
      <c r="G712">
        <v>2</v>
      </c>
      <c r="H712">
        <v>2</v>
      </c>
      <c r="I712">
        <v>1</v>
      </c>
    </row>
    <row r="713" spans="1:9">
      <c r="A713" t="s">
        <v>294</v>
      </c>
      <c r="B713" t="s">
        <v>1167</v>
      </c>
      <c r="C713" t="s">
        <v>1064</v>
      </c>
      <c r="D713">
        <v>4.5238095238095202</v>
      </c>
      <c r="E713">
        <v>21</v>
      </c>
      <c r="F713">
        <v>20</v>
      </c>
      <c r="G713">
        <v>0</v>
      </c>
      <c r="H713">
        <v>1</v>
      </c>
      <c r="I713">
        <v>1</v>
      </c>
    </row>
    <row r="714" spans="1:9">
      <c r="A714" t="s">
        <v>235</v>
      </c>
      <c r="B714" t="s">
        <v>1037</v>
      </c>
      <c r="C714" t="s">
        <v>959</v>
      </c>
      <c r="D714">
        <v>3.7875000000000001</v>
      </c>
      <c r="E714">
        <v>80</v>
      </c>
      <c r="F714">
        <v>59</v>
      </c>
      <c r="G714">
        <v>2</v>
      </c>
      <c r="H714">
        <v>19</v>
      </c>
      <c r="I714">
        <v>1</v>
      </c>
    </row>
    <row r="715" spans="1:9">
      <c r="A715" t="s">
        <v>111</v>
      </c>
      <c r="B715" t="s">
        <v>907</v>
      </c>
      <c r="C715" t="s">
        <v>908</v>
      </c>
      <c r="D715">
        <v>4.0891089108910803</v>
      </c>
      <c r="E715">
        <v>101</v>
      </c>
      <c r="F715">
        <v>77</v>
      </c>
      <c r="G715">
        <v>9</v>
      </c>
      <c r="H715">
        <v>15</v>
      </c>
      <c r="I715">
        <v>1</v>
      </c>
    </row>
    <row r="716" spans="1:9">
      <c r="A716" t="s">
        <v>62</v>
      </c>
      <c r="B716" t="s">
        <v>916</v>
      </c>
      <c r="C716" t="s">
        <v>908</v>
      </c>
      <c r="D716">
        <v>4.8115942028985499</v>
      </c>
      <c r="E716">
        <v>69</v>
      </c>
      <c r="F716">
        <v>67</v>
      </c>
      <c r="G716">
        <v>0</v>
      </c>
      <c r="H716">
        <v>2</v>
      </c>
      <c r="I716">
        <v>1</v>
      </c>
    </row>
    <row r="717" spans="1:9">
      <c r="A717" t="s">
        <v>426</v>
      </c>
      <c r="B717" t="s">
        <v>994</v>
      </c>
      <c r="C717" t="s">
        <v>908</v>
      </c>
      <c r="D717">
        <v>4.5609756097560901</v>
      </c>
      <c r="E717">
        <v>41</v>
      </c>
      <c r="F717">
        <v>38</v>
      </c>
      <c r="G717">
        <v>1</v>
      </c>
      <c r="H717">
        <v>2</v>
      </c>
      <c r="I717">
        <v>1</v>
      </c>
    </row>
    <row r="718" spans="1:9">
      <c r="A718" t="s">
        <v>265</v>
      </c>
      <c r="B718" t="s">
        <v>911</v>
      </c>
      <c r="C718" t="s">
        <v>908</v>
      </c>
      <c r="D718">
        <v>3.8137651821862302</v>
      </c>
      <c r="E718">
        <v>247</v>
      </c>
      <c r="F718">
        <v>175</v>
      </c>
      <c r="G718">
        <v>17</v>
      </c>
      <c r="H718">
        <v>55</v>
      </c>
      <c r="I718">
        <v>1</v>
      </c>
    </row>
    <row r="719" spans="1:9">
      <c r="A719" t="s">
        <v>684</v>
      </c>
      <c r="B719" t="s">
        <v>1023</v>
      </c>
      <c r="C719" t="s">
        <v>920</v>
      </c>
      <c r="D719">
        <v>4.4285714285714199</v>
      </c>
      <c r="E719">
        <v>35</v>
      </c>
      <c r="F719">
        <v>32</v>
      </c>
      <c r="G719">
        <v>2</v>
      </c>
      <c r="H719">
        <v>1</v>
      </c>
      <c r="I719">
        <v>1</v>
      </c>
    </row>
    <row r="720" spans="1:9">
      <c r="A720" t="s">
        <v>709</v>
      </c>
      <c r="B720" t="s">
        <v>911</v>
      </c>
      <c r="C720" t="s">
        <v>908</v>
      </c>
      <c r="D720">
        <v>3.6509433962264102</v>
      </c>
      <c r="E720">
        <v>106</v>
      </c>
      <c r="F720">
        <v>67</v>
      </c>
      <c r="G720">
        <v>13</v>
      </c>
      <c r="H720">
        <v>26</v>
      </c>
      <c r="I720">
        <v>1</v>
      </c>
    </row>
    <row r="721" spans="1:9">
      <c r="A721" t="s">
        <v>475</v>
      </c>
      <c r="B721" t="s">
        <v>953</v>
      </c>
      <c r="C721" t="s">
        <v>920</v>
      </c>
      <c r="D721">
        <v>4.4102564102564097</v>
      </c>
      <c r="E721">
        <v>39</v>
      </c>
      <c r="F721">
        <v>35</v>
      </c>
      <c r="G721">
        <v>2</v>
      </c>
      <c r="H721">
        <v>2</v>
      </c>
      <c r="I721">
        <v>1</v>
      </c>
    </row>
    <row r="722" spans="1:9">
      <c r="A722" t="s">
        <v>683</v>
      </c>
      <c r="B722" t="s">
        <v>911</v>
      </c>
      <c r="C722" t="s">
        <v>908</v>
      </c>
      <c r="D722">
        <v>3.63636363636363</v>
      </c>
      <c r="E722">
        <v>649</v>
      </c>
      <c r="F722">
        <v>403</v>
      </c>
      <c r="G722">
        <v>87</v>
      </c>
      <c r="H722">
        <v>159</v>
      </c>
      <c r="I722">
        <v>1</v>
      </c>
    </row>
    <row r="723" spans="1:9">
      <c r="A723" t="s">
        <v>567</v>
      </c>
      <c r="B723" t="s">
        <v>1168</v>
      </c>
      <c r="C723" t="s">
        <v>930</v>
      </c>
      <c r="D723">
        <v>4.5238095238095202</v>
      </c>
      <c r="E723">
        <v>21</v>
      </c>
      <c r="F723">
        <v>19</v>
      </c>
      <c r="G723">
        <v>1</v>
      </c>
      <c r="H723">
        <v>1</v>
      </c>
      <c r="I723">
        <v>1</v>
      </c>
    </row>
    <row r="724" spans="1:9">
      <c r="A724" t="s">
        <v>308</v>
      </c>
      <c r="B724" t="s">
        <v>1053</v>
      </c>
      <c r="C724" t="s">
        <v>1045</v>
      </c>
      <c r="D724">
        <v>4.0999999999999996</v>
      </c>
      <c r="E724">
        <v>20</v>
      </c>
      <c r="F724">
        <v>15</v>
      </c>
      <c r="G724">
        <v>2</v>
      </c>
      <c r="H724">
        <v>3</v>
      </c>
      <c r="I724">
        <v>1</v>
      </c>
    </row>
    <row r="725" spans="1:9">
      <c r="A725" t="s">
        <v>36</v>
      </c>
      <c r="B725" t="s">
        <v>933</v>
      </c>
      <c r="C725" t="s">
        <v>913</v>
      </c>
      <c r="D725">
        <v>3.9310344827586201</v>
      </c>
      <c r="E725">
        <v>29</v>
      </c>
      <c r="F725">
        <v>21</v>
      </c>
      <c r="G725">
        <v>2</v>
      </c>
      <c r="H725">
        <v>6</v>
      </c>
      <c r="I725">
        <v>1</v>
      </c>
    </row>
    <row r="726" spans="1:9">
      <c r="A726" s="2" t="s">
        <v>71</v>
      </c>
      <c r="B726" t="s">
        <v>1169</v>
      </c>
      <c r="C726" t="s">
        <v>908</v>
      </c>
      <c r="D726">
        <v>3.3684210526315699</v>
      </c>
      <c r="E726">
        <v>38</v>
      </c>
      <c r="F726">
        <v>22</v>
      </c>
      <c r="G726">
        <v>1</v>
      </c>
      <c r="H726">
        <v>15</v>
      </c>
      <c r="I726">
        <v>1</v>
      </c>
    </row>
    <row r="727" spans="1:9">
      <c r="A727" t="s">
        <v>171</v>
      </c>
      <c r="B727" t="s">
        <v>907</v>
      </c>
      <c r="C727" t="s">
        <v>908</v>
      </c>
      <c r="D727">
        <v>4.625</v>
      </c>
      <c r="E727">
        <v>32</v>
      </c>
      <c r="F727">
        <v>30</v>
      </c>
      <c r="G727">
        <v>0</v>
      </c>
      <c r="H727">
        <v>2</v>
      </c>
      <c r="I727">
        <v>1</v>
      </c>
    </row>
    <row r="728" spans="1:9">
      <c r="A728" t="s">
        <v>293</v>
      </c>
      <c r="B728" t="s">
        <v>907</v>
      </c>
      <c r="C728" t="s">
        <v>908</v>
      </c>
      <c r="D728">
        <v>4.2463768115942004</v>
      </c>
      <c r="E728">
        <v>69</v>
      </c>
      <c r="F728">
        <v>58</v>
      </c>
      <c r="G728">
        <v>5</v>
      </c>
      <c r="H728">
        <v>6</v>
      </c>
      <c r="I728">
        <v>1</v>
      </c>
    </row>
    <row r="729" spans="1:9">
      <c r="A729" t="s">
        <v>654</v>
      </c>
      <c r="B729" t="s">
        <v>1170</v>
      </c>
      <c r="C729" t="s">
        <v>908</v>
      </c>
      <c r="D729">
        <v>4.2307692307692299</v>
      </c>
      <c r="E729">
        <v>26</v>
      </c>
      <c r="F729">
        <v>20</v>
      </c>
      <c r="G729">
        <v>4</v>
      </c>
      <c r="H729">
        <v>2</v>
      </c>
      <c r="I729">
        <v>1</v>
      </c>
    </row>
    <row r="730" spans="1:9">
      <c r="A730" t="s">
        <v>600</v>
      </c>
      <c r="B730" t="s">
        <v>907</v>
      </c>
      <c r="C730" t="s">
        <v>908</v>
      </c>
      <c r="D730">
        <v>4.7183098591549202</v>
      </c>
      <c r="E730">
        <v>71</v>
      </c>
      <c r="F730">
        <v>69</v>
      </c>
      <c r="G730">
        <v>0</v>
      </c>
      <c r="H730">
        <v>2</v>
      </c>
      <c r="I730">
        <v>1</v>
      </c>
    </row>
    <row r="731" spans="1:9">
      <c r="A731" t="s">
        <v>317</v>
      </c>
      <c r="B731" t="s">
        <v>907</v>
      </c>
      <c r="C731" t="s">
        <v>908</v>
      </c>
      <c r="D731">
        <v>4.4444444444444402</v>
      </c>
      <c r="E731">
        <v>63</v>
      </c>
      <c r="F731">
        <v>55</v>
      </c>
      <c r="G731">
        <v>3</v>
      </c>
      <c r="H731">
        <v>5</v>
      </c>
      <c r="I731">
        <v>1</v>
      </c>
    </row>
    <row r="732" spans="1:9">
      <c r="A732" t="s">
        <v>816</v>
      </c>
      <c r="B732" t="s">
        <v>907</v>
      </c>
      <c r="C732" t="s">
        <v>908</v>
      </c>
      <c r="D732">
        <v>3.8235294117646998</v>
      </c>
      <c r="E732">
        <v>34</v>
      </c>
      <c r="F732">
        <v>23</v>
      </c>
      <c r="G732">
        <v>4</v>
      </c>
      <c r="H732">
        <v>7</v>
      </c>
      <c r="I732">
        <v>1</v>
      </c>
    </row>
    <row r="733" spans="1:9">
      <c r="A733" t="s">
        <v>580</v>
      </c>
      <c r="B733" t="s">
        <v>919</v>
      </c>
      <c r="C733" t="s">
        <v>920</v>
      </c>
      <c r="D733">
        <v>4.3333333333333304</v>
      </c>
      <c r="E733">
        <v>27</v>
      </c>
      <c r="F733">
        <v>21</v>
      </c>
      <c r="G733">
        <v>6</v>
      </c>
      <c r="H733">
        <v>0</v>
      </c>
      <c r="I733">
        <v>1</v>
      </c>
    </row>
    <row r="734" spans="1:9">
      <c r="A734" t="s">
        <v>145</v>
      </c>
      <c r="B734" t="s">
        <v>1022</v>
      </c>
      <c r="C734" t="s">
        <v>908</v>
      </c>
      <c r="D734">
        <v>4.2</v>
      </c>
      <c r="E734">
        <v>60</v>
      </c>
      <c r="F734">
        <v>46</v>
      </c>
      <c r="G734">
        <v>7</v>
      </c>
      <c r="H734">
        <v>7</v>
      </c>
      <c r="I734">
        <v>1</v>
      </c>
    </row>
    <row r="735" spans="1:9">
      <c r="A735" t="s">
        <v>199</v>
      </c>
      <c r="B735" t="s">
        <v>1171</v>
      </c>
      <c r="C735" t="s">
        <v>913</v>
      </c>
      <c r="D735">
        <v>4.3958333333333304</v>
      </c>
      <c r="E735">
        <v>48</v>
      </c>
      <c r="F735">
        <v>39</v>
      </c>
      <c r="G735">
        <v>5</v>
      </c>
      <c r="H735">
        <v>4</v>
      </c>
      <c r="I735">
        <v>1</v>
      </c>
    </row>
    <row r="736" spans="1:9">
      <c r="A736" t="s">
        <v>297</v>
      </c>
      <c r="B736" t="s">
        <v>911</v>
      </c>
      <c r="C736" t="s">
        <v>908</v>
      </c>
      <c r="D736">
        <v>3.9764705882352902</v>
      </c>
      <c r="E736">
        <v>85</v>
      </c>
      <c r="F736">
        <v>64</v>
      </c>
      <c r="G736">
        <v>9</v>
      </c>
      <c r="H736">
        <v>12</v>
      </c>
      <c r="I736">
        <v>1</v>
      </c>
    </row>
    <row r="737" spans="1:9">
      <c r="A737" t="s">
        <v>383</v>
      </c>
      <c r="B737" t="s">
        <v>1010</v>
      </c>
      <c r="C737" t="s">
        <v>908</v>
      </c>
      <c r="D737">
        <v>4.1650485436893199</v>
      </c>
      <c r="E737">
        <v>103</v>
      </c>
      <c r="F737">
        <v>80</v>
      </c>
      <c r="G737">
        <v>10</v>
      </c>
      <c r="H737">
        <v>13</v>
      </c>
      <c r="I737">
        <v>1</v>
      </c>
    </row>
    <row r="738" spans="1:9">
      <c r="A738" t="s">
        <v>876</v>
      </c>
      <c r="B738" t="s">
        <v>937</v>
      </c>
      <c r="C738" t="s">
        <v>908</v>
      </c>
      <c r="D738">
        <v>3.24242424242424</v>
      </c>
      <c r="E738">
        <v>33</v>
      </c>
      <c r="F738">
        <v>16</v>
      </c>
      <c r="G738">
        <v>4</v>
      </c>
      <c r="H738">
        <v>13</v>
      </c>
      <c r="I738">
        <v>1</v>
      </c>
    </row>
    <row r="739" spans="1:9">
      <c r="A739" t="s">
        <v>534</v>
      </c>
      <c r="B739" t="s">
        <v>1172</v>
      </c>
      <c r="C739" t="s">
        <v>920</v>
      </c>
      <c r="D739">
        <v>4.5</v>
      </c>
      <c r="E739">
        <v>22</v>
      </c>
      <c r="F739">
        <v>18</v>
      </c>
      <c r="G739">
        <v>4</v>
      </c>
      <c r="H739">
        <v>0</v>
      </c>
      <c r="I739">
        <v>1</v>
      </c>
    </row>
    <row r="740" spans="1:9">
      <c r="A740" t="s">
        <v>436</v>
      </c>
      <c r="B740" t="s">
        <v>1173</v>
      </c>
      <c r="C740" t="s">
        <v>908</v>
      </c>
      <c r="D740">
        <v>4.0980392156862697</v>
      </c>
      <c r="E740">
        <v>561</v>
      </c>
      <c r="F740">
        <v>433</v>
      </c>
      <c r="G740">
        <v>46</v>
      </c>
      <c r="H740">
        <v>82</v>
      </c>
      <c r="I740">
        <v>1</v>
      </c>
    </row>
    <row r="741" spans="1:9">
      <c r="A741" t="s">
        <v>259</v>
      </c>
      <c r="B741" t="s">
        <v>1024</v>
      </c>
      <c r="C741" t="s">
        <v>913</v>
      </c>
      <c r="D741">
        <v>4.5584415584415501</v>
      </c>
      <c r="E741">
        <v>77</v>
      </c>
      <c r="F741">
        <v>68</v>
      </c>
      <c r="G741">
        <v>5</v>
      </c>
      <c r="H741">
        <v>4</v>
      </c>
      <c r="I741">
        <v>1</v>
      </c>
    </row>
    <row r="742" spans="1:9">
      <c r="A742" t="s">
        <v>180</v>
      </c>
      <c r="B742" t="s">
        <v>1174</v>
      </c>
      <c r="C742" t="s">
        <v>908</v>
      </c>
      <c r="D742">
        <v>4</v>
      </c>
      <c r="E742">
        <v>33</v>
      </c>
      <c r="F742">
        <v>24</v>
      </c>
      <c r="G742">
        <v>3</v>
      </c>
      <c r="H742">
        <v>6</v>
      </c>
      <c r="I742">
        <v>1</v>
      </c>
    </row>
    <row r="743" spans="1:9">
      <c r="A743" t="s">
        <v>282</v>
      </c>
      <c r="B743" t="s">
        <v>907</v>
      </c>
      <c r="C743" t="s">
        <v>908</v>
      </c>
      <c r="D743">
        <v>4.2272727272727204</v>
      </c>
      <c r="E743">
        <v>22</v>
      </c>
      <c r="F743">
        <v>18</v>
      </c>
      <c r="G743">
        <v>1</v>
      </c>
      <c r="H743">
        <v>3</v>
      </c>
      <c r="I743">
        <v>1</v>
      </c>
    </row>
    <row r="744" spans="1:9">
      <c r="A744" t="s">
        <v>781</v>
      </c>
      <c r="B744" t="s">
        <v>1165</v>
      </c>
      <c r="C744" t="s">
        <v>913</v>
      </c>
      <c r="D744">
        <v>4.1028037383177498</v>
      </c>
      <c r="E744">
        <v>107</v>
      </c>
      <c r="F744">
        <v>79</v>
      </c>
      <c r="G744">
        <v>14</v>
      </c>
      <c r="H744">
        <v>14</v>
      </c>
      <c r="I744">
        <v>1</v>
      </c>
    </row>
    <row r="745" spans="1:9">
      <c r="A745" t="s">
        <v>734</v>
      </c>
      <c r="B745" t="s">
        <v>1094</v>
      </c>
      <c r="C745" t="s">
        <v>908</v>
      </c>
      <c r="D745">
        <v>3.9259259259259198</v>
      </c>
      <c r="E745">
        <v>27</v>
      </c>
      <c r="F745">
        <v>19</v>
      </c>
      <c r="G745">
        <v>2</v>
      </c>
      <c r="H745">
        <v>6</v>
      </c>
      <c r="I745">
        <v>1</v>
      </c>
    </row>
    <row r="746" spans="1:9">
      <c r="A746" t="s">
        <v>619</v>
      </c>
      <c r="B746" t="s">
        <v>966</v>
      </c>
      <c r="C746" t="s">
        <v>925</v>
      </c>
      <c r="D746">
        <v>4.2896174863387904</v>
      </c>
      <c r="E746">
        <v>183</v>
      </c>
      <c r="F746">
        <v>151</v>
      </c>
      <c r="G746">
        <v>15</v>
      </c>
      <c r="H746">
        <v>17</v>
      </c>
      <c r="I746">
        <v>1</v>
      </c>
    </row>
    <row r="747" spans="1:9">
      <c r="A747" t="s">
        <v>581</v>
      </c>
      <c r="B747" t="s">
        <v>907</v>
      </c>
      <c r="C747" t="s">
        <v>908</v>
      </c>
      <c r="D747">
        <v>4.5593220338983</v>
      </c>
      <c r="E747">
        <v>59</v>
      </c>
      <c r="F747">
        <v>53</v>
      </c>
      <c r="G747">
        <v>2</v>
      </c>
      <c r="H747">
        <v>4</v>
      </c>
      <c r="I747">
        <v>1</v>
      </c>
    </row>
    <row r="748" spans="1:9">
      <c r="A748" t="s">
        <v>168</v>
      </c>
      <c r="B748" t="s">
        <v>907</v>
      </c>
      <c r="C748" t="s">
        <v>908</v>
      </c>
      <c r="D748">
        <v>4.8196721311475397</v>
      </c>
      <c r="E748">
        <v>61</v>
      </c>
      <c r="F748">
        <v>59</v>
      </c>
      <c r="G748">
        <v>0</v>
      </c>
      <c r="H748">
        <v>2</v>
      </c>
      <c r="I748">
        <v>1</v>
      </c>
    </row>
    <row r="749" spans="1:9">
      <c r="A749" t="s">
        <v>862</v>
      </c>
      <c r="B749" t="s">
        <v>1057</v>
      </c>
      <c r="C749" t="s">
        <v>908</v>
      </c>
      <c r="D749">
        <v>4.0714285714285703</v>
      </c>
      <c r="E749">
        <v>1568</v>
      </c>
      <c r="F749">
        <v>1199</v>
      </c>
      <c r="G749">
        <v>134</v>
      </c>
      <c r="H749">
        <v>235</v>
      </c>
      <c r="I749">
        <v>1</v>
      </c>
    </row>
    <row r="750" spans="1:9">
      <c r="A750" t="s">
        <v>416</v>
      </c>
      <c r="B750" t="s">
        <v>912</v>
      </c>
      <c r="C750" t="s">
        <v>913</v>
      </c>
      <c r="D750">
        <v>4.0697674418604599</v>
      </c>
      <c r="E750">
        <v>43</v>
      </c>
      <c r="F750">
        <v>35</v>
      </c>
      <c r="G750">
        <v>1</v>
      </c>
      <c r="H750">
        <v>7</v>
      </c>
      <c r="I750">
        <v>1</v>
      </c>
    </row>
    <row r="751" spans="1:9">
      <c r="A751" t="s">
        <v>540</v>
      </c>
      <c r="B751" t="s">
        <v>1175</v>
      </c>
      <c r="C751" t="s">
        <v>908</v>
      </c>
      <c r="D751">
        <v>3.7291666666666599</v>
      </c>
      <c r="E751">
        <v>48</v>
      </c>
      <c r="F751">
        <v>32</v>
      </c>
      <c r="G751">
        <v>5</v>
      </c>
      <c r="H751">
        <v>11</v>
      </c>
      <c r="I751">
        <v>1</v>
      </c>
    </row>
    <row r="752" spans="1:9">
      <c r="A752" t="s">
        <v>221</v>
      </c>
      <c r="B752" t="s">
        <v>907</v>
      </c>
      <c r="C752" t="s">
        <v>908</v>
      </c>
      <c r="D752">
        <v>4.1241379310344799</v>
      </c>
      <c r="E752">
        <v>145</v>
      </c>
      <c r="F752">
        <v>116</v>
      </c>
      <c r="G752">
        <v>10</v>
      </c>
      <c r="H752">
        <v>19</v>
      </c>
      <c r="I752">
        <v>1</v>
      </c>
    </row>
    <row r="753" spans="1:9">
      <c r="A753" t="s">
        <v>41</v>
      </c>
      <c r="B753" t="s">
        <v>907</v>
      </c>
      <c r="C753" t="s">
        <v>908</v>
      </c>
      <c r="D753">
        <v>4.2033898305084696</v>
      </c>
      <c r="E753">
        <v>118</v>
      </c>
      <c r="F753">
        <v>94</v>
      </c>
      <c r="G753">
        <v>9</v>
      </c>
      <c r="H753">
        <v>15</v>
      </c>
      <c r="I753">
        <v>1</v>
      </c>
    </row>
    <row r="754" spans="1:9">
      <c r="A754" t="s">
        <v>708</v>
      </c>
      <c r="B754" t="s">
        <v>928</v>
      </c>
      <c r="C754" t="s">
        <v>913</v>
      </c>
      <c r="D754">
        <v>4.2261072261072199</v>
      </c>
      <c r="E754">
        <v>429</v>
      </c>
      <c r="F754">
        <v>341</v>
      </c>
      <c r="G754">
        <v>45</v>
      </c>
      <c r="H754">
        <v>43</v>
      </c>
      <c r="I754">
        <v>1</v>
      </c>
    </row>
    <row r="755" spans="1:9">
      <c r="A755" t="s">
        <v>216</v>
      </c>
      <c r="B755" t="s">
        <v>907</v>
      </c>
      <c r="C755" t="s">
        <v>908</v>
      </c>
      <c r="D755">
        <v>4.4545454545454497</v>
      </c>
      <c r="E755">
        <v>99</v>
      </c>
      <c r="F755">
        <v>91</v>
      </c>
      <c r="G755">
        <v>5</v>
      </c>
      <c r="H755">
        <v>3</v>
      </c>
      <c r="I755">
        <v>1</v>
      </c>
    </row>
    <row r="756" spans="1:9">
      <c r="A756" t="s">
        <v>54</v>
      </c>
      <c r="B756" t="s">
        <v>1176</v>
      </c>
      <c r="C756" t="s">
        <v>925</v>
      </c>
      <c r="D756">
        <v>4.1206896551724101</v>
      </c>
      <c r="E756">
        <v>58</v>
      </c>
      <c r="F756">
        <v>47</v>
      </c>
      <c r="G756">
        <v>1</v>
      </c>
      <c r="H756">
        <v>10</v>
      </c>
      <c r="I756">
        <v>1</v>
      </c>
    </row>
    <row r="757" spans="1:9">
      <c r="A757" t="s">
        <v>260</v>
      </c>
      <c r="B757" t="s">
        <v>911</v>
      </c>
      <c r="C757" t="s">
        <v>908</v>
      </c>
      <c r="D757">
        <v>3.7441860465116199</v>
      </c>
      <c r="E757">
        <v>258</v>
      </c>
      <c r="F757">
        <v>171</v>
      </c>
      <c r="G757">
        <v>30</v>
      </c>
      <c r="H757">
        <v>57</v>
      </c>
      <c r="I757">
        <v>1</v>
      </c>
    </row>
    <row r="758" spans="1:9">
      <c r="A758" t="s">
        <v>75</v>
      </c>
      <c r="B758" t="s">
        <v>907</v>
      </c>
      <c r="C758" t="s">
        <v>908</v>
      </c>
      <c r="D758">
        <v>3.1346153846153801</v>
      </c>
      <c r="E758">
        <v>52</v>
      </c>
      <c r="F758">
        <v>27</v>
      </c>
      <c r="G758">
        <v>4</v>
      </c>
      <c r="H758">
        <v>21</v>
      </c>
      <c r="I758">
        <v>1</v>
      </c>
    </row>
    <row r="759" spans="1:9">
      <c r="A759" t="s">
        <v>628</v>
      </c>
      <c r="B759" t="s">
        <v>912</v>
      </c>
      <c r="C759" t="s">
        <v>913</v>
      </c>
      <c r="D759">
        <v>3.7962962962962901</v>
      </c>
      <c r="E759">
        <v>108</v>
      </c>
      <c r="F759">
        <v>70</v>
      </c>
      <c r="G759">
        <v>17</v>
      </c>
      <c r="H759">
        <v>21</v>
      </c>
      <c r="I759">
        <v>1</v>
      </c>
    </row>
    <row r="760" spans="1:9">
      <c r="A760" t="s">
        <v>769</v>
      </c>
      <c r="B760" t="s">
        <v>1177</v>
      </c>
      <c r="C760" t="s">
        <v>908</v>
      </c>
      <c r="D760">
        <v>3.7333333333333298</v>
      </c>
      <c r="E760">
        <v>45</v>
      </c>
      <c r="F760">
        <v>31</v>
      </c>
      <c r="G760">
        <v>6</v>
      </c>
      <c r="H760">
        <v>8</v>
      </c>
      <c r="I760">
        <v>1</v>
      </c>
    </row>
    <row r="761" spans="1:9">
      <c r="A761" t="s">
        <v>513</v>
      </c>
      <c r="B761" t="s">
        <v>907</v>
      </c>
      <c r="C761" t="s">
        <v>908</v>
      </c>
      <c r="D761">
        <v>3.8108108108108101</v>
      </c>
      <c r="E761">
        <v>37</v>
      </c>
      <c r="F761">
        <v>24</v>
      </c>
      <c r="G761">
        <v>6</v>
      </c>
      <c r="H761">
        <v>7</v>
      </c>
      <c r="I761">
        <v>1</v>
      </c>
    </row>
    <row r="762" spans="1:9">
      <c r="A762" t="s">
        <v>366</v>
      </c>
      <c r="B762" t="s">
        <v>907</v>
      </c>
      <c r="C762" t="s">
        <v>908</v>
      </c>
      <c r="D762">
        <v>3.76056338028169</v>
      </c>
      <c r="E762">
        <v>142</v>
      </c>
      <c r="F762">
        <v>97</v>
      </c>
      <c r="G762">
        <v>16</v>
      </c>
      <c r="H762">
        <v>29</v>
      </c>
      <c r="I762">
        <v>1</v>
      </c>
    </row>
    <row r="763" spans="1:9">
      <c r="A763" t="s">
        <v>194</v>
      </c>
      <c r="B763" t="s">
        <v>1037</v>
      </c>
      <c r="C763" t="s">
        <v>959</v>
      </c>
      <c r="D763">
        <v>4.5999999999999996</v>
      </c>
      <c r="E763">
        <v>25</v>
      </c>
      <c r="F763">
        <v>23</v>
      </c>
      <c r="G763">
        <v>2</v>
      </c>
      <c r="H763">
        <v>0</v>
      </c>
      <c r="I763">
        <v>1</v>
      </c>
    </row>
    <row r="764" spans="1:9">
      <c r="A764" s="2" t="s">
        <v>526</v>
      </c>
      <c r="B764" t="s">
        <v>907</v>
      </c>
      <c r="C764" t="s">
        <v>908</v>
      </c>
      <c r="D764">
        <v>4.2817679558010999</v>
      </c>
      <c r="E764">
        <v>181</v>
      </c>
      <c r="F764">
        <v>150</v>
      </c>
      <c r="G764">
        <v>11</v>
      </c>
      <c r="H764">
        <v>20</v>
      </c>
      <c r="I764">
        <v>1</v>
      </c>
    </row>
    <row r="765" spans="1:9">
      <c r="A765" t="s">
        <v>392</v>
      </c>
      <c r="B765" t="s">
        <v>1178</v>
      </c>
      <c r="C765" t="s">
        <v>1179</v>
      </c>
      <c r="D765">
        <v>4.1591511936339502</v>
      </c>
      <c r="E765">
        <v>377</v>
      </c>
      <c r="F765">
        <v>312</v>
      </c>
      <c r="G765">
        <v>16</v>
      </c>
      <c r="H765">
        <v>49</v>
      </c>
      <c r="I765">
        <v>1</v>
      </c>
    </row>
    <row r="766" spans="1:9">
      <c r="A766" t="s">
        <v>365</v>
      </c>
      <c r="B766" t="s">
        <v>1180</v>
      </c>
      <c r="C766" t="s">
        <v>908</v>
      </c>
      <c r="D766">
        <v>4.3829787234042499</v>
      </c>
      <c r="E766">
        <v>94</v>
      </c>
      <c r="F766">
        <v>81</v>
      </c>
      <c r="G766">
        <v>6</v>
      </c>
      <c r="H766">
        <v>7</v>
      </c>
      <c r="I766">
        <v>1</v>
      </c>
    </row>
    <row r="767" spans="1:9">
      <c r="A767" t="s">
        <v>693</v>
      </c>
      <c r="B767" t="s">
        <v>1181</v>
      </c>
      <c r="C767" t="s">
        <v>920</v>
      </c>
      <c r="D767">
        <v>3.72413793103448</v>
      </c>
      <c r="E767">
        <v>29</v>
      </c>
      <c r="F767">
        <v>19</v>
      </c>
      <c r="G767">
        <v>6</v>
      </c>
      <c r="H767">
        <v>4</v>
      </c>
      <c r="I767">
        <v>1</v>
      </c>
    </row>
    <row r="768" spans="1:9">
      <c r="A768" t="s">
        <v>126</v>
      </c>
      <c r="B768" t="s">
        <v>1071</v>
      </c>
      <c r="C768" t="s">
        <v>920</v>
      </c>
      <c r="D768">
        <v>3.88</v>
      </c>
      <c r="E768">
        <v>25</v>
      </c>
      <c r="F768">
        <v>18</v>
      </c>
      <c r="G768">
        <v>2</v>
      </c>
      <c r="H768">
        <v>5</v>
      </c>
      <c r="I768">
        <v>1</v>
      </c>
    </row>
    <row r="769" spans="1:9">
      <c r="A769" t="s">
        <v>173</v>
      </c>
      <c r="B769" t="s">
        <v>1119</v>
      </c>
      <c r="C769" t="s">
        <v>930</v>
      </c>
      <c r="D769">
        <v>4.0116279069767398</v>
      </c>
      <c r="E769">
        <v>86</v>
      </c>
      <c r="F769">
        <v>65</v>
      </c>
      <c r="G769">
        <v>5</v>
      </c>
      <c r="H769">
        <v>16</v>
      </c>
      <c r="I769">
        <v>1</v>
      </c>
    </row>
    <row r="770" spans="1:9">
      <c r="A770" t="s">
        <v>402</v>
      </c>
      <c r="B770" t="s">
        <v>919</v>
      </c>
      <c r="C770" t="s">
        <v>920</v>
      </c>
      <c r="D770">
        <v>4.3809523809523796</v>
      </c>
      <c r="E770">
        <v>21</v>
      </c>
      <c r="F770">
        <v>18</v>
      </c>
      <c r="G770">
        <v>0</v>
      </c>
      <c r="H770">
        <v>3</v>
      </c>
      <c r="I770">
        <v>1</v>
      </c>
    </row>
    <row r="771" spans="1:9">
      <c r="A771" t="s">
        <v>140</v>
      </c>
      <c r="B771" t="s">
        <v>970</v>
      </c>
      <c r="C771" t="s">
        <v>908</v>
      </c>
      <c r="D771">
        <v>4.1176470588235201</v>
      </c>
      <c r="E771">
        <v>34</v>
      </c>
      <c r="F771">
        <v>27</v>
      </c>
      <c r="G771">
        <v>4</v>
      </c>
      <c r="H771">
        <v>3</v>
      </c>
      <c r="I771">
        <v>1</v>
      </c>
    </row>
    <row r="772" spans="1:9">
      <c r="A772" t="s">
        <v>447</v>
      </c>
      <c r="B772" t="s">
        <v>978</v>
      </c>
      <c r="C772" t="s">
        <v>908</v>
      </c>
      <c r="D772">
        <v>4.1311475409835996</v>
      </c>
      <c r="E772">
        <v>61</v>
      </c>
      <c r="F772">
        <v>48</v>
      </c>
      <c r="G772">
        <v>6</v>
      </c>
      <c r="H772">
        <v>7</v>
      </c>
      <c r="I772">
        <v>1</v>
      </c>
    </row>
    <row r="773" spans="1:9">
      <c r="A773" t="s">
        <v>261</v>
      </c>
      <c r="B773" t="s">
        <v>907</v>
      </c>
      <c r="C773" t="s">
        <v>908</v>
      </c>
      <c r="D773">
        <v>4.0303030303030303</v>
      </c>
      <c r="E773">
        <v>33</v>
      </c>
      <c r="F773">
        <v>23</v>
      </c>
      <c r="G773">
        <v>5</v>
      </c>
      <c r="H773">
        <v>5</v>
      </c>
      <c r="I773">
        <v>1</v>
      </c>
    </row>
    <row r="774" spans="1:9">
      <c r="A774" t="s">
        <v>100</v>
      </c>
      <c r="B774" t="s">
        <v>919</v>
      </c>
      <c r="C774" t="s">
        <v>920</v>
      </c>
      <c r="D774">
        <v>3.4666666666666601</v>
      </c>
      <c r="E774">
        <v>30</v>
      </c>
      <c r="F774">
        <v>19</v>
      </c>
      <c r="G774">
        <v>2</v>
      </c>
      <c r="H774">
        <v>9</v>
      </c>
      <c r="I774">
        <v>1</v>
      </c>
    </row>
    <row r="775" spans="1:9">
      <c r="A775" t="s">
        <v>659</v>
      </c>
      <c r="B775" t="s">
        <v>907</v>
      </c>
      <c r="C775" t="s">
        <v>908</v>
      </c>
      <c r="D775">
        <v>4.3333333333333304</v>
      </c>
      <c r="E775">
        <v>51</v>
      </c>
      <c r="F775">
        <v>43</v>
      </c>
      <c r="G775">
        <v>1</v>
      </c>
      <c r="H775">
        <v>7</v>
      </c>
      <c r="I775">
        <v>1</v>
      </c>
    </row>
    <row r="776" spans="1:9">
      <c r="A776" t="s">
        <v>295</v>
      </c>
      <c r="B776" t="s">
        <v>1004</v>
      </c>
      <c r="C776" t="s">
        <v>930</v>
      </c>
      <c r="D776">
        <v>3.6666666666666599</v>
      </c>
      <c r="E776">
        <v>24</v>
      </c>
      <c r="F776">
        <v>14</v>
      </c>
      <c r="G776">
        <v>4</v>
      </c>
      <c r="H776">
        <v>6</v>
      </c>
      <c r="I776">
        <v>1</v>
      </c>
    </row>
    <row r="777" spans="1:9">
      <c r="A777" t="s">
        <v>507</v>
      </c>
      <c r="B777" t="s">
        <v>907</v>
      </c>
      <c r="C777" t="s">
        <v>908</v>
      </c>
      <c r="D777">
        <v>4.1363636363636296</v>
      </c>
      <c r="E777">
        <v>22</v>
      </c>
      <c r="F777">
        <v>18</v>
      </c>
      <c r="G777">
        <v>1</v>
      </c>
      <c r="H777">
        <v>3</v>
      </c>
      <c r="I777">
        <v>1</v>
      </c>
    </row>
    <row r="778" spans="1:9">
      <c r="A778" t="s">
        <v>204</v>
      </c>
      <c r="B778" t="s">
        <v>1112</v>
      </c>
      <c r="C778" t="s">
        <v>908</v>
      </c>
      <c r="D778">
        <v>4.1964285714285703</v>
      </c>
      <c r="E778">
        <v>56</v>
      </c>
      <c r="F778">
        <v>45</v>
      </c>
      <c r="G778">
        <v>5</v>
      </c>
      <c r="H778">
        <v>6</v>
      </c>
      <c r="I778">
        <v>1</v>
      </c>
    </row>
    <row r="779" spans="1:9">
      <c r="A779" t="s">
        <v>157</v>
      </c>
      <c r="B779" t="s">
        <v>938</v>
      </c>
      <c r="C779" t="s">
        <v>908</v>
      </c>
      <c r="D779">
        <v>2.8</v>
      </c>
      <c r="E779">
        <v>20</v>
      </c>
      <c r="F779">
        <v>8</v>
      </c>
      <c r="G779">
        <v>0</v>
      </c>
      <c r="H779">
        <v>12</v>
      </c>
      <c r="I779">
        <v>1</v>
      </c>
    </row>
    <row r="780" spans="1:9">
      <c r="A780" t="s">
        <v>662</v>
      </c>
      <c r="B780" t="s">
        <v>956</v>
      </c>
      <c r="C780" t="s">
        <v>908</v>
      </c>
      <c r="D780">
        <v>4.0588235294117601</v>
      </c>
      <c r="E780">
        <v>221</v>
      </c>
      <c r="F780">
        <v>172</v>
      </c>
      <c r="G780">
        <v>18</v>
      </c>
      <c r="H780">
        <v>31</v>
      </c>
      <c r="I780">
        <v>1</v>
      </c>
    </row>
    <row r="781" spans="1:9">
      <c r="A781" t="s">
        <v>182</v>
      </c>
      <c r="B781" t="s">
        <v>1101</v>
      </c>
      <c r="C781" t="s">
        <v>920</v>
      </c>
      <c r="D781">
        <v>3.8048780487804801</v>
      </c>
      <c r="E781">
        <v>41</v>
      </c>
      <c r="F781">
        <v>28</v>
      </c>
      <c r="G781">
        <v>3</v>
      </c>
      <c r="H781">
        <v>10</v>
      </c>
      <c r="I781">
        <v>1</v>
      </c>
    </row>
    <row r="782" spans="1:9">
      <c r="A782" t="s">
        <v>615</v>
      </c>
      <c r="B782" t="s">
        <v>1182</v>
      </c>
      <c r="C782" t="s">
        <v>908</v>
      </c>
      <c r="D782">
        <v>4.3918918918918903</v>
      </c>
      <c r="E782">
        <v>74</v>
      </c>
      <c r="F782">
        <v>63</v>
      </c>
      <c r="G782">
        <v>5</v>
      </c>
      <c r="H782">
        <v>6</v>
      </c>
      <c r="I782">
        <v>1</v>
      </c>
    </row>
    <row r="783" spans="1:9">
      <c r="A783" t="s">
        <v>190</v>
      </c>
      <c r="B783" t="s">
        <v>1053</v>
      </c>
      <c r="C783" t="s">
        <v>1045</v>
      </c>
      <c r="D783">
        <v>4.5</v>
      </c>
      <c r="E783">
        <v>32</v>
      </c>
      <c r="F783">
        <v>28</v>
      </c>
      <c r="G783">
        <v>2</v>
      </c>
      <c r="H783">
        <v>2</v>
      </c>
      <c r="I783">
        <v>1</v>
      </c>
    </row>
    <row r="784" spans="1:9">
      <c r="A784" t="s">
        <v>587</v>
      </c>
      <c r="B784" t="s">
        <v>919</v>
      </c>
      <c r="C784" t="s">
        <v>920</v>
      </c>
      <c r="D784">
        <v>4.4800000000000004</v>
      </c>
      <c r="E784">
        <v>25</v>
      </c>
      <c r="F784">
        <v>23</v>
      </c>
      <c r="G784">
        <v>0</v>
      </c>
      <c r="H784">
        <v>2</v>
      </c>
      <c r="I784">
        <v>1</v>
      </c>
    </row>
    <row r="785" spans="1:9">
      <c r="A785" t="s">
        <v>515</v>
      </c>
      <c r="B785" t="s">
        <v>1183</v>
      </c>
      <c r="C785" t="s">
        <v>1179</v>
      </c>
      <c r="D785">
        <v>4.4166666666666599</v>
      </c>
      <c r="E785">
        <v>36</v>
      </c>
      <c r="F785">
        <v>30</v>
      </c>
      <c r="G785">
        <v>3</v>
      </c>
      <c r="H785">
        <v>3</v>
      </c>
      <c r="I785">
        <v>1</v>
      </c>
    </row>
    <row r="786" spans="1:9">
      <c r="A786" t="s">
        <v>473</v>
      </c>
      <c r="B786" t="s">
        <v>919</v>
      </c>
      <c r="C786" t="s">
        <v>920</v>
      </c>
      <c r="D786">
        <v>4.25</v>
      </c>
      <c r="E786">
        <v>84</v>
      </c>
      <c r="F786">
        <v>73</v>
      </c>
      <c r="G786">
        <v>2</v>
      </c>
      <c r="H786">
        <v>9</v>
      </c>
      <c r="I786">
        <v>1</v>
      </c>
    </row>
    <row r="787" spans="1:9">
      <c r="A787" t="s">
        <v>840</v>
      </c>
      <c r="B787" t="s">
        <v>1001</v>
      </c>
      <c r="C787" t="s">
        <v>908</v>
      </c>
      <c r="D787">
        <v>3.81496062992125</v>
      </c>
      <c r="E787">
        <v>254</v>
      </c>
      <c r="F787">
        <v>174</v>
      </c>
      <c r="G787">
        <v>23</v>
      </c>
      <c r="H787">
        <v>57</v>
      </c>
      <c r="I787">
        <v>1</v>
      </c>
    </row>
    <row r="788" spans="1:9">
      <c r="A788" t="s">
        <v>368</v>
      </c>
      <c r="B788" t="s">
        <v>907</v>
      </c>
      <c r="C788" t="s">
        <v>908</v>
      </c>
      <c r="D788">
        <v>3.9523809523809499</v>
      </c>
      <c r="E788">
        <v>126</v>
      </c>
      <c r="F788">
        <v>94</v>
      </c>
      <c r="G788">
        <v>10</v>
      </c>
      <c r="H788">
        <v>22</v>
      </c>
      <c r="I788">
        <v>1</v>
      </c>
    </row>
    <row r="789" spans="1:9">
      <c r="A789" t="s">
        <v>450</v>
      </c>
      <c r="B789" t="s">
        <v>1111</v>
      </c>
      <c r="C789" t="s">
        <v>908</v>
      </c>
      <c r="D789">
        <v>4.3448275862068897</v>
      </c>
      <c r="E789">
        <v>29</v>
      </c>
      <c r="F789">
        <v>23</v>
      </c>
      <c r="G789">
        <v>3</v>
      </c>
      <c r="H789">
        <v>3</v>
      </c>
      <c r="I789">
        <v>1</v>
      </c>
    </row>
    <row r="790" spans="1:9">
      <c r="A790" t="s">
        <v>768</v>
      </c>
      <c r="B790" t="s">
        <v>907</v>
      </c>
      <c r="C790" t="s">
        <v>908</v>
      </c>
      <c r="D790">
        <v>3.8333333333333299</v>
      </c>
      <c r="E790">
        <v>66</v>
      </c>
      <c r="F790">
        <v>48</v>
      </c>
      <c r="G790">
        <v>5</v>
      </c>
      <c r="H790">
        <v>13</v>
      </c>
      <c r="I790">
        <v>1</v>
      </c>
    </row>
    <row r="791" spans="1:9">
      <c r="A791" t="s">
        <v>408</v>
      </c>
      <c r="B791" t="s">
        <v>938</v>
      </c>
      <c r="C791" t="s">
        <v>908</v>
      </c>
      <c r="D791">
        <v>4.2727272727272698</v>
      </c>
      <c r="E791">
        <v>44</v>
      </c>
      <c r="F791">
        <v>37</v>
      </c>
      <c r="G791">
        <v>2</v>
      </c>
      <c r="H791">
        <v>5</v>
      </c>
      <c r="I791">
        <v>1</v>
      </c>
    </row>
    <row r="792" spans="1:9">
      <c r="A792" t="s">
        <v>609</v>
      </c>
      <c r="B792" t="s">
        <v>907</v>
      </c>
      <c r="C792" t="s">
        <v>908</v>
      </c>
      <c r="D792">
        <v>3.6206896551724101</v>
      </c>
      <c r="E792">
        <v>29</v>
      </c>
      <c r="F792">
        <v>21</v>
      </c>
      <c r="G792">
        <v>0</v>
      </c>
      <c r="H792">
        <v>8</v>
      </c>
      <c r="I792">
        <v>1</v>
      </c>
    </row>
    <row r="793" spans="1:9">
      <c r="A793" t="s">
        <v>45</v>
      </c>
      <c r="B793" t="s">
        <v>916</v>
      </c>
      <c r="C793" t="s">
        <v>908</v>
      </c>
      <c r="D793">
        <v>3.1111111111111098</v>
      </c>
      <c r="E793">
        <v>63</v>
      </c>
      <c r="F793">
        <v>27</v>
      </c>
      <c r="G793">
        <v>13</v>
      </c>
      <c r="H793">
        <v>23</v>
      </c>
      <c r="I793">
        <v>1</v>
      </c>
    </row>
    <row r="794" spans="1:9">
      <c r="A794" t="s">
        <v>69</v>
      </c>
      <c r="B794" t="s">
        <v>907</v>
      </c>
      <c r="C794" t="s">
        <v>908</v>
      </c>
      <c r="D794">
        <v>4.2916666666666599</v>
      </c>
      <c r="E794">
        <v>24</v>
      </c>
      <c r="F794">
        <v>20</v>
      </c>
      <c r="G794">
        <v>2</v>
      </c>
      <c r="H794">
        <v>2</v>
      </c>
      <c r="I794">
        <v>1</v>
      </c>
    </row>
    <row r="795" spans="1:9">
      <c r="A795" t="s">
        <v>872</v>
      </c>
      <c r="B795" t="s">
        <v>907</v>
      </c>
      <c r="C795" t="s">
        <v>908</v>
      </c>
      <c r="D795">
        <v>4.3913043478260798</v>
      </c>
      <c r="E795">
        <v>23</v>
      </c>
      <c r="F795">
        <v>20</v>
      </c>
      <c r="G795">
        <v>1</v>
      </c>
      <c r="H795">
        <v>2</v>
      </c>
      <c r="I795">
        <v>1</v>
      </c>
    </row>
    <row r="796" spans="1:9">
      <c r="A796" t="s">
        <v>267</v>
      </c>
      <c r="B796" t="s">
        <v>1184</v>
      </c>
      <c r="C796" t="s">
        <v>959</v>
      </c>
      <c r="D796">
        <v>4.5999999999999996</v>
      </c>
      <c r="E796">
        <v>60</v>
      </c>
      <c r="F796">
        <v>56</v>
      </c>
      <c r="G796">
        <v>1</v>
      </c>
      <c r="H796">
        <v>3</v>
      </c>
      <c r="I796">
        <v>1</v>
      </c>
    </row>
    <row r="797" spans="1:9">
      <c r="A797" t="s">
        <v>76</v>
      </c>
      <c r="B797" t="s">
        <v>1154</v>
      </c>
      <c r="C797" t="s">
        <v>908</v>
      </c>
      <c r="D797">
        <v>3.8965517241379302</v>
      </c>
      <c r="E797">
        <v>29</v>
      </c>
      <c r="F797">
        <v>22</v>
      </c>
      <c r="G797">
        <v>2</v>
      </c>
      <c r="H797">
        <v>5</v>
      </c>
      <c r="I797">
        <v>1</v>
      </c>
    </row>
    <row r="798" spans="1:9">
      <c r="A798" t="s">
        <v>694</v>
      </c>
      <c r="B798" t="s">
        <v>1125</v>
      </c>
      <c r="C798" t="s">
        <v>908</v>
      </c>
      <c r="D798">
        <v>3.88</v>
      </c>
      <c r="E798">
        <v>25</v>
      </c>
      <c r="F798">
        <v>16</v>
      </c>
      <c r="G798">
        <v>5</v>
      </c>
      <c r="H798">
        <v>4</v>
      </c>
      <c r="I798">
        <v>1</v>
      </c>
    </row>
    <row r="799" spans="1:9">
      <c r="A799" t="s">
        <v>647</v>
      </c>
      <c r="B799" t="s">
        <v>1185</v>
      </c>
      <c r="C799" t="s">
        <v>920</v>
      </c>
      <c r="D799">
        <v>3.74193548387096</v>
      </c>
      <c r="E799">
        <v>93</v>
      </c>
      <c r="F799">
        <v>64</v>
      </c>
      <c r="G799">
        <v>7</v>
      </c>
      <c r="H799">
        <v>22</v>
      </c>
      <c r="I799">
        <v>1</v>
      </c>
    </row>
    <row r="800" spans="1:9">
      <c r="A800" t="s">
        <v>234</v>
      </c>
      <c r="B800" t="s">
        <v>1186</v>
      </c>
      <c r="C800" t="s">
        <v>908</v>
      </c>
      <c r="D800">
        <v>4.1935483870967696</v>
      </c>
      <c r="E800">
        <v>31</v>
      </c>
      <c r="F800">
        <v>24</v>
      </c>
      <c r="G800">
        <v>5</v>
      </c>
      <c r="H800">
        <v>2</v>
      </c>
      <c r="I800">
        <v>1</v>
      </c>
    </row>
    <row r="801" spans="1:9">
      <c r="A801" t="s">
        <v>865</v>
      </c>
      <c r="B801" t="s">
        <v>907</v>
      </c>
      <c r="C801" t="s">
        <v>908</v>
      </c>
      <c r="D801">
        <v>3.3541666666666599</v>
      </c>
      <c r="E801">
        <v>48</v>
      </c>
      <c r="F801">
        <v>26</v>
      </c>
      <c r="G801">
        <v>6</v>
      </c>
      <c r="H801">
        <v>16</v>
      </c>
      <c r="I801">
        <v>1</v>
      </c>
    </row>
    <row r="802" spans="1:9">
      <c r="A802" t="s">
        <v>538</v>
      </c>
      <c r="B802" t="s">
        <v>1111</v>
      </c>
      <c r="C802" t="s">
        <v>908</v>
      </c>
      <c r="D802">
        <v>4.4666666666666597</v>
      </c>
      <c r="E802">
        <v>30</v>
      </c>
      <c r="F802">
        <v>27</v>
      </c>
      <c r="G802">
        <v>1</v>
      </c>
      <c r="H802">
        <v>2</v>
      </c>
      <c r="I802">
        <v>1</v>
      </c>
    </row>
    <row r="803" spans="1:9">
      <c r="A803" t="s">
        <v>116</v>
      </c>
      <c r="B803" t="s">
        <v>907</v>
      </c>
      <c r="C803" t="s">
        <v>908</v>
      </c>
      <c r="D803">
        <v>3.9411764705882302</v>
      </c>
      <c r="E803">
        <v>34</v>
      </c>
      <c r="F803">
        <v>26</v>
      </c>
      <c r="G803">
        <v>1</v>
      </c>
      <c r="H803">
        <v>7</v>
      </c>
      <c r="I803">
        <v>1</v>
      </c>
    </row>
    <row r="804" spans="1:9">
      <c r="A804" t="s">
        <v>747</v>
      </c>
      <c r="B804" t="s">
        <v>1173</v>
      </c>
      <c r="C804" t="s">
        <v>908</v>
      </c>
      <c r="D804">
        <v>4.1673360107094997</v>
      </c>
      <c r="E804">
        <v>747</v>
      </c>
      <c r="F804">
        <v>599</v>
      </c>
      <c r="G804">
        <v>51</v>
      </c>
      <c r="H804">
        <v>97</v>
      </c>
      <c r="I804">
        <v>1</v>
      </c>
    </row>
    <row r="805" spans="1:9">
      <c r="A805" t="s">
        <v>729</v>
      </c>
      <c r="B805" t="s">
        <v>972</v>
      </c>
      <c r="C805" t="s">
        <v>913</v>
      </c>
      <c r="D805">
        <v>3.56</v>
      </c>
      <c r="E805">
        <v>25</v>
      </c>
      <c r="F805">
        <v>16</v>
      </c>
      <c r="G805">
        <v>3</v>
      </c>
      <c r="H805">
        <v>6</v>
      </c>
      <c r="I805">
        <v>1</v>
      </c>
    </row>
    <row r="806" spans="1:9">
      <c r="A806" t="s">
        <v>86</v>
      </c>
      <c r="B806" t="s">
        <v>950</v>
      </c>
      <c r="C806" t="s">
        <v>920</v>
      </c>
      <c r="D806">
        <v>3.94423791821561</v>
      </c>
      <c r="E806">
        <v>269</v>
      </c>
      <c r="F806">
        <v>197</v>
      </c>
      <c r="G806">
        <v>22</v>
      </c>
      <c r="H806">
        <v>50</v>
      </c>
      <c r="I806">
        <v>1</v>
      </c>
    </row>
    <row r="807" spans="1:9">
      <c r="A807" t="s">
        <v>539</v>
      </c>
      <c r="B807" t="s">
        <v>907</v>
      </c>
      <c r="C807" t="s">
        <v>908</v>
      </c>
      <c r="D807">
        <v>3.9054054054053999</v>
      </c>
      <c r="E807">
        <v>148</v>
      </c>
      <c r="F807">
        <v>108</v>
      </c>
      <c r="G807">
        <v>16</v>
      </c>
      <c r="H807">
        <v>24</v>
      </c>
      <c r="I807">
        <v>1</v>
      </c>
    </row>
    <row r="808" spans="1:9">
      <c r="A808" t="s">
        <v>827</v>
      </c>
      <c r="B808" t="s">
        <v>1187</v>
      </c>
      <c r="C808" t="s">
        <v>908</v>
      </c>
      <c r="D808">
        <v>3.75</v>
      </c>
      <c r="E808">
        <v>52</v>
      </c>
      <c r="F808">
        <v>34</v>
      </c>
      <c r="G808">
        <v>5</v>
      </c>
      <c r="H808">
        <v>13</v>
      </c>
      <c r="I808">
        <v>1</v>
      </c>
    </row>
    <row r="809" spans="1:9">
      <c r="A809" t="s">
        <v>94</v>
      </c>
      <c r="B809" t="s">
        <v>911</v>
      </c>
      <c r="C809" t="s">
        <v>908</v>
      </c>
      <c r="D809">
        <v>3.5588235294117601</v>
      </c>
      <c r="E809">
        <v>34</v>
      </c>
      <c r="F809">
        <v>21</v>
      </c>
      <c r="G809">
        <v>5</v>
      </c>
      <c r="H809">
        <v>8</v>
      </c>
      <c r="I809">
        <v>1</v>
      </c>
    </row>
    <row r="810" spans="1:9">
      <c r="A810" t="s">
        <v>870</v>
      </c>
      <c r="B810" t="s">
        <v>907</v>
      </c>
      <c r="C810" t="s">
        <v>908</v>
      </c>
      <c r="D810">
        <v>3.9532163742690001</v>
      </c>
      <c r="E810">
        <v>1197</v>
      </c>
      <c r="F810">
        <v>869</v>
      </c>
      <c r="G810">
        <v>129</v>
      </c>
      <c r="H810">
        <v>199</v>
      </c>
      <c r="I810">
        <v>1</v>
      </c>
    </row>
    <row r="811" spans="1:9">
      <c r="A811" t="s">
        <v>263</v>
      </c>
      <c r="B811" t="s">
        <v>1188</v>
      </c>
      <c r="C811" t="s">
        <v>908</v>
      </c>
      <c r="D811">
        <v>3.8571428571428501</v>
      </c>
      <c r="E811">
        <v>21</v>
      </c>
      <c r="F811">
        <v>15</v>
      </c>
      <c r="G811">
        <v>3</v>
      </c>
      <c r="H811">
        <v>3</v>
      </c>
      <c r="I811">
        <v>1</v>
      </c>
    </row>
    <row r="812" spans="1:9">
      <c r="A812" t="s">
        <v>30</v>
      </c>
      <c r="B812" t="s">
        <v>1189</v>
      </c>
      <c r="C812" t="s">
        <v>908</v>
      </c>
      <c r="D812">
        <v>4.125</v>
      </c>
      <c r="E812">
        <v>88</v>
      </c>
      <c r="F812">
        <v>66</v>
      </c>
      <c r="G812">
        <v>11</v>
      </c>
      <c r="H812">
        <v>11</v>
      </c>
      <c r="I812">
        <v>1</v>
      </c>
    </row>
    <row r="813" spans="1:9">
      <c r="A813" t="s">
        <v>215</v>
      </c>
      <c r="B813" t="s">
        <v>939</v>
      </c>
      <c r="C813" t="s">
        <v>908</v>
      </c>
      <c r="D813">
        <v>2.6857142857142802</v>
      </c>
      <c r="E813">
        <v>35</v>
      </c>
      <c r="F813">
        <v>12</v>
      </c>
      <c r="G813">
        <v>5</v>
      </c>
      <c r="H813">
        <v>18</v>
      </c>
      <c r="I813">
        <v>1</v>
      </c>
    </row>
    <row r="814" spans="1:9">
      <c r="A814" t="s">
        <v>335</v>
      </c>
      <c r="B814" t="s">
        <v>1100</v>
      </c>
      <c r="C814" t="s">
        <v>908</v>
      </c>
      <c r="D814">
        <v>4.3142857142857096</v>
      </c>
      <c r="E814">
        <v>35</v>
      </c>
      <c r="F814">
        <v>28</v>
      </c>
      <c r="G814">
        <v>3</v>
      </c>
      <c r="H814">
        <v>4</v>
      </c>
      <c r="I814">
        <v>1</v>
      </c>
    </row>
    <row r="815" spans="1:9">
      <c r="A815" t="s">
        <v>387</v>
      </c>
      <c r="B815" t="s">
        <v>949</v>
      </c>
      <c r="C815" t="s">
        <v>908</v>
      </c>
      <c r="D815">
        <v>4.1238095238095198</v>
      </c>
      <c r="E815">
        <v>105</v>
      </c>
      <c r="F815">
        <v>83</v>
      </c>
      <c r="G815">
        <v>8</v>
      </c>
      <c r="H815">
        <v>14</v>
      </c>
      <c r="I815">
        <v>1</v>
      </c>
    </row>
    <row r="816" spans="1:9">
      <c r="A816" s="2" t="s">
        <v>638</v>
      </c>
      <c r="B816" t="s">
        <v>938</v>
      </c>
      <c r="C816" t="s">
        <v>908</v>
      </c>
      <c r="D816">
        <v>4.4800000000000004</v>
      </c>
      <c r="E816">
        <v>25</v>
      </c>
      <c r="F816">
        <v>23</v>
      </c>
      <c r="G816">
        <v>0</v>
      </c>
      <c r="H816">
        <v>2</v>
      </c>
      <c r="I816">
        <v>1</v>
      </c>
    </row>
    <row r="817" spans="1:9">
      <c r="A817" t="s">
        <v>205</v>
      </c>
      <c r="B817" t="s">
        <v>907</v>
      </c>
      <c r="C817" t="s">
        <v>908</v>
      </c>
      <c r="D817">
        <v>3.7250000000000001</v>
      </c>
      <c r="E817">
        <v>40</v>
      </c>
      <c r="F817">
        <v>26</v>
      </c>
      <c r="G817">
        <v>5</v>
      </c>
      <c r="H817">
        <v>9</v>
      </c>
      <c r="I817">
        <v>1</v>
      </c>
    </row>
    <row r="818" spans="1:9">
      <c r="A818" s="2" t="s">
        <v>315</v>
      </c>
      <c r="B818" t="s">
        <v>1184</v>
      </c>
      <c r="C818" t="s">
        <v>959</v>
      </c>
      <c r="D818">
        <v>4.4342857142857097</v>
      </c>
      <c r="E818">
        <v>175</v>
      </c>
      <c r="F818">
        <v>153</v>
      </c>
      <c r="G818">
        <v>8</v>
      </c>
      <c r="H818">
        <v>14</v>
      </c>
      <c r="I818">
        <v>1</v>
      </c>
    </row>
    <row r="819" spans="1:9">
      <c r="A819" t="s">
        <v>280</v>
      </c>
      <c r="B819" t="s">
        <v>941</v>
      </c>
      <c r="C819" t="s">
        <v>908</v>
      </c>
      <c r="D819">
        <v>3.6170212765957399</v>
      </c>
      <c r="E819">
        <v>47</v>
      </c>
      <c r="F819">
        <v>32</v>
      </c>
      <c r="G819">
        <v>2</v>
      </c>
      <c r="H819">
        <v>13</v>
      </c>
      <c r="I819">
        <v>1</v>
      </c>
    </row>
    <row r="820" spans="1:9">
      <c r="A820" t="s">
        <v>722</v>
      </c>
      <c r="B820" t="s">
        <v>907</v>
      </c>
      <c r="C820" t="s">
        <v>908</v>
      </c>
      <c r="D820">
        <v>3.7857142857142798</v>
      </c>
      <c r="E820">
        <v>28</v>
      </c>
      <c r="F820">
        <v>19</v>
      </c>
      <c r="G820">
        <v>5</v>
      </c>
      <c r="H820">
        <v>4</v>
      </c>
      <c r="I820">
        <v>1</v>
      </c>
    </row>
    <row r="821" spans="1:9">
      <c r="A821" t="s">
        <v>713</v>
      </c>
      <c r="B821" t="s">
        <v>1034</v>
      </c>
      <c r="C821" t="s">
        <v>930</v>
      </c>
      <c r="D821">
        <v>4.4285714285714199</v>
      </c>
      <c r="E821">
        <v>84</v>
      </c>
      <c r="F821">
        <v>73</v>
      </c>
      <c r="G821">
        <v>6</v>
      </c>
      <c r="H821">
        <v>5</v>
      </c>
      <c r="I821">
        <v>1</v>
      </c>
    </row>
    <row r="822" spans="1:9">
      <c r="A822" t="s">
        <v>394</v>
      </c>
      <c r="B822" t="s">
        <v>954</v>
      </c>
      <c r="C822" t="s">
        <v>908</v>
      </c>
      <c r="D822">
        <v>3.4107142857142798</v>
      </c>
      <c r="E822">
        <v>56</v>
      </c>
      <c r="F822">
        <v>31</v>
      </c>
      <c r="G822">
        <v>5</v>
      </c>
      <c r="H822">
        <v>20</v>
      </c>
      <c r="I822">
        <v>1</v>
      </c>
    </row>
    <row r="823" spans="1:9">
      <c r="A823" t="s">
        <v>653</v>
      </c>
      <c r="B823" t="s">
        <v>1123</v>
      </c>
      <c r="C823" t="s">
        <v>959</v>
      </c>
      <c r="D823">
        <v>4.3404255319148897</v>
      </c>
      <c r="E823">
        <v>141</v>
      </c>
      <c r="F823">
        <v>117</v>
      </c>
      <c r="G823">
        <v>10</v>
      </c>
      <c r="H823">
        <v>14</v>
      </c>
      <c r="I823">
        <v>1</v>
      </c>
    </row>
    <row r="824" spans="1:9">
      <c r="A824" t="s">
        <v>849</v>
      </c>
      <c r="B824" t="s">
        <v>1037</v>
      </c>
      <c r="C824" t="s">
        <v>959</v>
      </c>
      <c r="D824">
        <v>3.9090909090908998</v>
      </c>
      <c r="E824">
        <v>22</v>
      </c>
      <c r="F824">
        <v>17</v>
      </c>
      <c r="G824">
        <v>0</v>
      </c>
      <c r="H824">
        <v>5</v>
      </c>
      <c r="I824">
        <v>1</v>
      </c>
    </row>
    <row r="825" spans="1:9">
      <c r="A825" t="s">
        <v>187</v>
      </c>
      <c r="B825" t="s">
        <v>907</v>
      </c>
      <c r="C825" t="s">
        <v>908</v>
      </c>
      <c r="D825">
        <v>3.9020771513353099</v>
      </c>
      <c r="E825">
        <v>337</v>
      </c>
      <c r="F825">
        <v>234</v>
      </c>
      <c r="G825">
        <v>43</v>
      </c>
      <c r="H825">
        <v>60</v>
      </c>
      <c r="I825">
        <v>1</v>
      </c>
    </row>
    <row r="826" spans="1:9">
      <c r="A826" t="s">
        <v>605</v>
      </c>
      <c r="B826" t="s">
        <v>998</v>
      </c>
      <c r="C826" t="s">
        <v>930</v>
      </c>
      <c r="D826">
        <v>3.6590909090908998</v>
      </c>
      <c r="E826">
        <v>44</v>
      </c>
      <c r="F826">
        <v>30</v>
      </c>
      <c r="G826">
        <v>3</v>
      </c>
      <c r="H826">
        <v>11</v>
      </c>
      <c r="I826">
        <v>1</v>
      </c>
    </row>
    <row r="827" spans="1:9">
      <c r="A827" t="s">
        <v>756</v>
      </c>
      <c r="B827" t="s">
        <v>1190</v>
      </c>
      <c r="C827" t="s">
        <v>908</v>
      </c>
      <c r="D827">
        <v>4.1851851851851798</v>
      </c>
      <c r="E827">
        <v>54</v>
      </c>
      <c r="F827">
        <v>45</v>
      </c>
      <c r="G827">
        <v>5</v>
      </c>
      <c r="H827">
        <v>4</v>
      </c>
      <c r="I827">
        <v>1</v>
      </c>
    </row>
    <row r="828" spans="1:9">
      <c r="A828" t="s">
        <v>669</v>
      </c>
      <c r="B828" t="s">
        <v>1126</v>
      </c>
      <c r="C828" t="s">
        <v>908</v>
      </c>
      <c r="D828">
        <v>4.0999999999999996</v>
      </c>
      <c r="E828">
        <v>30</v>
      </c>
      <c r="F828">
        <v>22</v>
      </c>
      <c r="G828">
        <v>4</v>
      </c>
      <c r="H828">
        <v>4</v>
      </c>
      <c r="I828">
        <v>1</v>
      </c>
    </row>
    <row r="829" spans="1:9">
      <c r="A829" t="s">
        <v>559</v>
      </c>
      <c r="B829" t="s">
        <v>1191</v>
      </c>
      <c r="C829" t="s">
        <v>925</v>
      </c>
      <c r="D829">
        <v>4.625</v>
      </c>
      <c r="E829">
        <v>24</v>
      </c>
      <c r="F829">
        <v>21</v>
      </c>
      <c r="G829">
        <v>3</v>
      </c>
      <c r="H829">
        <v>0</v>
      </c>
      <c r="I829">
        <v>1</v>
      </c>
    </row>
    <row r="830" spans="1:9">
      <c r="A830" t="s">
        <v>494</v>
      </c>
      <c r="B830" t="s">
        <v>940</v>
      </c>
      <c r="C830" t="s">
        <v>920</v>
      </c>
      <c r="D830">
        <v>3.0909090909090899</v>
      </c>
      <c r="E830">
        <v>22</v>
      </c>
      <c r="F830">
        <v>9</v>
      </c>
      <c r="G830">
        <v>5</v>
      </c>
      <c r="H830">
        <v>8</v>
      </c>
      <c r="I830">
        <v>1</v>
      </c>
    </row>
    <row r="831" spans="1:9">
      <c r="A831" t="s">
        <v>291</v>
      </c>
      <c r="B831" t="s">
        <v>956</v>
      </c>
      <c r="C831" t="s">
        <v>908</v>
      </c>
      <c r="D831">
        <v>4.2325581395348797</v>
      </c>
      <c r="E831">
        <v>86</v>
      </c>
      <c r="F831">
        <v>68</v>
      </c>
      <c r="G831">
        <v>6</v>
      </c>
      <c r="H831">
        <v>12</v>
      </c>
      <c r="I831">
        <v>1</v>
      </c>
    </row>
    <row r="832" spans="1:9">
      <c r="A832" t="s">
        <v>714</v>
      </c>
      <c r="B832" t="s">
        <v>907</v>
      </c>
      <c r="C832" t="s">
        <v>908</v>
      </c>
      <c r="D832">
        <v>4.3636363636363598</v>
      </c>
      <c r="E832">
        <v>22</v>
      </c>
      <c r="F832">
        <v>18</v>
      </c>
      <c r="G832">
        <v>3</v>
      </c>
      <c r="H832">
        <v>1</v>
      </c>
      <c r="I832">
        <v>1</v>
      </c>
    </row>
    <row r="833" spans="1:9">
      <c r="A833" t="s">
        <v>270</v>
      </c>
      <c r="B833" t="s">
        <v>907</v>
      </c>
      <c r="C833" t="s">
        <v>908</v>
      </c>
      <c r="D833">
        <v>3.8275862068965498</v>
      </c>
      <c r="E833">
        <v>29</v>
      </c>
      <c r="F833">
        <v>19</v>
      </c>
      <c r="G833">
        <v>6</v>
      </c>
      <c r="H833">
        <v>4</v>
      </c>
      <c r="I833">
        <v>1</v>
      </c>
    </row>
    <row r="834" spans="1:9">
      <c r="A834" t="s">
        <v>640</v>
      </c>
      <c r="B834" t="s">
        <v>1055</v>
      </c>
      <c r="C834" t="s">
        <v>908</v>
      </c>
      <c r="D834">
        <v>4.4864864864864797</v>
      </c>
      <c r="E834">
        <v>37</v>
      </c>
      <c r="F834">
        <v>32</v>
      </c>
      <c r="G834">
        <v>3</v>
      </c>
      <c r="H834">
        <v>2</v>
      </c>
      <c r="I834">
        <v>1</v>
      </c>
    </row>
    <row r="835" spans="1:9">
      <c r="A835" t="s">
        <v>258</v>
      </c>
      <c r="B835" t="s">
        <v>907</v>
      </c>
      <c r="C835" t="s">
        <v>908</v>
      </c>
      <c r="D835">
        <v>4.0172413793103399</v>
      </c>
      <c r="E835">
        <v>58</v>
      </c>
      <c r="F835">
        <v>45</v>
      </c>
      <c r="G835">
        <v>3</v>
      </c>
      <c r="H835">
        <v>10</v>
      </c>
      <c r="I835">
        <v>1</v>
      </c>
    </row>
    <row r="836" spans="1:9">
      <c r="A836" t="s">
        <v>33</v>
      </c>
      <c r="B836" t="s">
        <v>907</v>
      </c>
      <c r="C836" t="s">
        <v>908</v>
      </c>
      <c r="D836">
        <v>4.0869565217391299</v>
      </c>
      <c r="E836">
        <v>207</v>
      </c>
      <c r="F836">
        <v>159</v>
      </c>
      <c r="G836">
        <v>14</v>
      </c>
      <c r="H836">
        <v>34</v>
      </c>
      <c r="I836">
        <v>1</v>
      </c>
    </row>
    <row r="837" spans="1:9">
      <c r="A837" t="s">
        <v>405</v>
      </c>
      <c r="B837" t="s">
        <v>907</v>
      </c>
      <c r="C837" t="s">
        <v>908</v>
      </c>
      <c r="D837">
        <v>4.09183673469387</v>
      </c>
      <c r="E837">
        <v>98</v>
      </c>
      <c r="F837">
        <v>77</v>
      </c>
      <c r="G837">
        <v>5</v>
      </c>
      <c r="H837">
        <v>16</v>
      </c>
      <c r="I837">
        <v>1</v>
      </c>
    </row>
    <row r="838" spans="1:9">
      <c r="A838" t="s">
        <v>73</v>
      </c>
      <c r="B838" t="s">
        <v>1096</v>
      </c>
      <c r="C838" t="s">
        <v>908</v>
      </c>
      <c r="D838">
        <v>4.7</v>
      </c>
      <c r="E838">
        <v>30</v>
      </c>
      <c r="F838">
        <v>30</v>
      </c>
      <c r="G838">
        <v>0</v>
      </c>
      <c r="H838">
        <v>0</v>
      </c>
      <c r="I838">
        <v>1</v>
      </c>
    </row>
    <row r="839" spans="1:9">
      <c r="A839" t="s">
        <v>304</v>
      </c>
      <c r="B839" t="s">
        <v>1053</v>
      </c>
      <c r="C839" t="s">
        <v>1045</v>
      </c>
      <c r="D839">
        <v>4.13043478260869</v>
      </c>
      <c r="E839">
        <v>92</v>
      </c>
      <c r="F839">
        <v>73</v>
      </c>
      <c r="G839">
        <v>8</v>
      </c>
      <c r="H839">
        <v>11</v>
      </c>
      <c r="I839">
        <v>1</v>
      </c>
    </row>
    <row r="840" spans="1:9">
      <c r="A840" t="s">
        <v>617</v>
      </c>
      <c r="B840" t="s">
        <v>907</v>
      </c>
      <c r="C840" t="s">
        <v>908</v>
      </c>
      <c r="D840">
        <v>3.8333333333333299</v>
      </c>
      <c r="E840">
        <v>84</v>
      </c>
      <c r="F840">
        <v>58</v>
      </c>
      <c r="G840">
        <v>10</v>
      </c>
      <c r="H840">
        <v>16</v>
      </c>
      <c r="I840">
        <v>1</v>
      </c>
    </row>
    <row r="841" spans="1:9">
      <c r="A841" t="s">
        <v>273</v>
      </c>
      <c r="B841" t="s">
        <v>938</v>
      </c>
      <c r="C841" t="s">
        <v>908</v>
      </c>
      <c r="D841">
        <v>4.3214285714285703</v>
      </c>
      <c r="E841">
        <v>28</v>
      </c>
      <c r="F841">
        <v>22</v>
      </c>
      <c r="G841">
        <v>4</v>
      </c>
      <c r="H841">
        <v>2</v>
      </c>
      <c r="I841">
        <v>1</v>
      </c>
    </row>
    <row r="842" spans="1:9">
      <c r="A842" t="s">
        <v>440</v>
      </c>
      <c r="B842" t="s">
        <v>1057</v>
      </c>
      <c r="C842" t="s">
        <v>908</v>
      </c>
      <c r="D842">
        <v>3.91</v>
      </c>
      <c r="E842">
        <v>200</v>
      </c>
      <c r="F842">
        <v>142</v>
      </c>
      <c r="G842">
        <v>19</v>
      </c>
      <c r="H842">
        <v>39</v>
      </c>
      <c r="I842">
        <v>1</v>
      </c>
    </row>
    <row r="843" spans="1:9">
      <c r="A843" t="s">
        <v>593</v>
      </c>
      <c r="B843" t="s">
        <v>950</v>
      </c>
      <c r="C843" t="s">
        <v>920</v>
      </c>
      <c r="D843">
        <v>3.7875000000000001</v>
      </c>
      <c r="E843">
        <v>240</v>
      </c>
      <c r="F843">
        <v>166</v>
      </c>
      <c r="G843">
        <v>19</v>
      </c>
      <c r="H843">
        <v>55</v>
      </c>
      <c r="I843">
        <v>1</v>
      </c>
    </row>
    <row r="844" spans="1:9">
      <c r="A844" t="s">
        <v>514</v>
      </c>
      <c r="B844" t="s">
        <v>938</v>
      </c>
      <c r="C844" t="s">
        <v>908</v>
      </c>
      <c r="D844">
        <v>3.4615384615384599</v>
      </c>
      <c r="E844">
        <v>91</v>
      </c>
      <c r="F844">
        <v>55</v>
      </c>
      <c r="G844">
        <v>7</v>
      </c>
      <c r="H844">
        <v>29</v>
      </c>
      <c r="I844">
        <v>1</v>
      </c>
    </row>
    <row r="845" spans="1:9">
      <c r="A845" t="s">
        <v>361</v>
      </c>
      <c r="B845" t="s">
        <v>907</v>
      </c>
      <c r="C845" t="s">
        <v>908</v>
      </c>
      <c r="D845">
        <v>3.8956521739130401</v>
      </c>
      <c r="E845">
        <v>115</v>
      </c>
      <c r="F845">
        <v>81</v>
      </c>
      <c r="G845">
        <v>14</v>
      </c>
      <c r="H845">
        <v>20</v>
      </c>
      <c r="I845">
        <v>1</v>
      </c>
    </row>
    <row r="846" spans="1:9">
      <c r="A846" t="s">
        <v>400</v>
      </c>
      <c r="B846" t="s">
        <v>1071</v>
      </c>
      <c r="C846" t="s">
        <v>920</v>
      </c>
      <c r="D846">
        <v>3.7</v>
      </c>
      <c r="E846">
        <v>20</v>
      </c>
      <c r="F846">
        <v>14</v>
      </c>
      <c r="G846">
        <v>1</v>
      </c>
      <c r="H846">
        <v>5</v>
      </c>
      <c r="I846">
        <v>1</v>
      </c>
    </row>
    <row r="847" spans="1:9">
      <c r="A847" t="s">
        <v>731</v>
      </c>
      <c r="B847" t="s">
        <v>921</v>
      </c>
      <c r="C847" t="s">
        <v>908</v>
      </c>
      <c r="D847">
        <v>4.5454545454545396</v>
      </c>
      <c r="E847">
        <v>22</v>
      </c>
      <c r="F847">
        <v>19</v>
      </c>
      <c r="G847">
        <v>3</v>
      </c>
      <c r="H847">
        <v>0</v>
      </c>
      <c r="I847">
        <v>1</v>
      </c>
    </row>
    <row r="848" spans="1:9">
      <c r="A848" t="s">
        <v>213</v>
      </c>
      <c r="B848" t="s">
        <v>1062</v>
      </c>
      <c r="C848" t="s">
        <v>908</v>
      </c>
      <c r="D848">
        <v>3.4782608695652102</v>
      </c>
      <c r="E848">
        <v>23</v>
      </c>
      <c r="F848">
        <v>14</v>
      </c>
      <c r="G848">
        <v>2</v>
      </c>
      <c r="H848">
        <v>7</v>
      </c>
      <c r="I848">
        <v>1</v>
      </c>
    </row>
    <row r="849" spans="1:9">
      <c r="A849" t="s">
        <v>420</v>
      </c>
      <c r="B849" t="s">
        <v>970</v>
      </c>
      <c r="C849" t="s">
        <v>908</v>
      </c>
      <c r="D849">
        <v>4.2377049180327804</v>
      </c>
      <c r="E849">
        <v>122</v>
      </c>
      <c r="F849">
        <v>100</v>
      </c>
      <c r="G849">
        <v>7</v>
      </c>
      <c r="H849">
        <v>15</v>
      </c>
      <c r="I849">
        <v>1</v>
      </c>
    </row>
    <row r="850" spans="1:9">
      <c r="A850" t="s">
        <v>311</v>
      </c>
      <c r="B850" t="s">
        <v>992</v>
      </c>
      <c r="C850" t="s">
        <v>908</v>
      </c>
      <c r="D850">
        <v>4.375</v>
      </c>
      <c r="E850">
        <v>24</v>
      </c>
      <c r="F850">
        <v>20</v>
      </c>
      <c r="G850">
        <v>0</v>
      </c>
      <c r="H850">
        <v>4</v>
      </c>
      <c r="I850">
        <v>1</v>
      </c>
    </row>
    <row r="851" spans="1:9">
      <c r="A851" t="s">
        <v>637</v>
      </c>
      <c r="B851" t="s">
        <v>1192</v>
      </c>
      <c r="C851" t="s">
        <v>908</v>
      </c>
      <c r="D851">
        <v>4</v>
      </c>
      <c r="E851">
        <v>26</v>
      </c>
      <c r="F851">
        <v>21</v>
      </c>
      <c r="G851">
        <v>2</v>
      </c>
      <c r="H851">
        <v>3</v>
      </c>
      <c r="I851">
        <v>1</v>
      </c>
    </row>
    <row r="852" spans="1:9">
      <c r="A852" t="s">
        <v>848</v>
      </c>
      <c r="B852" t="s">
        <v>1193</v>
      </c>
      <c r="C852" t="s">
        <v>913</v>
      </c>
      <c r="D852">
        <v>4.375</v>
      </c>
      <c r="E852">
        <v>32</v>
      </c>
      <c r="F852">
        <v>27</v>
      </c>
      <c r="G852">
        <v>3</v>
      </c>
      <c r="H852">
        <v>2</v>
      </c>
      <c r="I852">
        <v>1</v>
      </c>
    </row>
    <row r="853" spans="1:9">
      <c r="A853" t="s">
        <v>806</v>
      </c>
      <c r="B853" t="s">
        <v>1016</v>
      </c>
      <c r="C853" t="s">
        <v>908</v>
      </c>
      <c r="D853">
        <v>3.8214285714285698</v>
      </c>
      <c r="E853">
        <v>28</v>
      </c>
      <c r="F853">
        <v>20</v>
      </c>
      <c r="G853">
        <v>0</v>
      </c>
      <c r="H853">
        <v>8</v>
      </c>
      <c r="I853">
        <v>1</v>
      </c>
    </row>
    <row r="854" spans="1:9">
      <c r="A854" t="s">
        <v>571</v>
      </c>
      <c r="B854" t="s">
        <v>919</v>
      </c>
      <c r="C854" t="s">
        <v>920</v>
      </c>
      <c r="D854">
        <v>4.4375</v>
      </c>
      <c r="E854">
        <v>32</v>
      </c>
      <c r="F854">
        <v>28</v>
      </c>
      <c r="G854">
        <v>2</v>
      </c>
      <c r="H854">
        <v>2</v>
      </c>
      <c r="I854">
        <v>1</v>
      </c>
    </row>
    <row r="855" spans="1:9">
      <c r="A855" t="s">
        <v>85</v>
      </c>
      <c r="B855" t="s">
        <v>1055</v>
      </c>
      <c r="C855" t="s">
        <v>908</v>
      </c>
      <c r="D855">
        <v>4.2962962962962896</v>
      </c>
      <c r="E855">
        <v>54</v>
      </c>
      <c r="F855">
        <v>45</v>
      </c>
      <c r="G855">
        <v>4</v>
      </c>
      <c r="H855">
        <v>5</v>
      </c>
      <c r="I855">
        <v>1</v>
      </c>
    </row>
    <row r="856" spans="1:9">
      <c r="A856" t="s">
        <v>737</v>
      </c>
      <c r="B856" t="s">
        <v>907</v>
      </c>
      <c r="C856" t="s">
        <v>908</v>
      </c>
      <c r="D856">
        <v>4.5925925925925899</v>
      </c>
      <c r="E856">
        <v>27</v>
      </c>
      <c r="F856">
        <v>24</v>
      </c>
      <c r="G856">
        <v>1</v>
      </c>
      <c r="H856">
        <v>2</v>
      </c>
      <c r="I856">
        <v>1</v>
      </c>
    </row>
    <row r="857" spans="1:9">
      <c r="A857" t="s">
        <v>348</v>
      </c>
      <c r="B857" t="s">
        <v>907</v>
      </c>
      <c r="C857" t="s">
        <v>908</v>
      </c>
      <c r="D857">
        <v>3.4583333333333299</v>
      </c>
      <c r="E857">
        <v>24</v>
      </c>
      <c r="F857">
        <v>12</v>
      </c>
      <c r="G857">
        <v>5</v>
      </c>
      <c r="H857">
        <v>7</v>
      </c>
      <c r="I857">
        <v>1</v>
      </c>
    </row>
    <row r="858" spans="1:9">
      <c r="A858" t="s">
        <v>184</v>
      </c>
      <c r="B858" t="s">
        <v>919</v>
      </c>
      <c r="C858" t="s">
        <v>920</v>
      </c>
      <c r="D858">
        <v>4.1898734177215102</v>
      </c>
      <c r="E858">
        <v>79</v>
      </c>
      <c r="F858">
        <v>68</v>
      </c>
      <c r="G858">
        <v>6</v>
      </c>
      <c r="H858">
        <v>5</v>
      </c>
      <c r="I858">
        <v>1</v>
      </c>
    </row>
    <row r="859" spans="1:9">
      <c r="A859" t="s">
        <v>815</v>
      </c>
      <c r="B859" t="s">
        <v>1060</v>
      </c>
      <c r="C859" t="s">
        <v>913</v>
      </c>
      <c r="D859">
        <v>4.1836734693877498</v>
      </c>
      <c r="E859">
        <v>49</v>
      </c>
      <c r="F859">
        <v>38</v>
      </c>
      <c r="G859">
        <v>4</v>
      </c>
      <c r="H859">
        <v>7</v>
      </c>
      <c r="I859">
        <v>1</v>
      </c>
    </row>
    <row r="860" spans="1:9">
      <c r="A860" t="s">
        <v>467</v>
      </c>
      <c r="B860" t="s">
        <v>970</v>
      </c>
      <c r="C860" t="s">
        <v>908</v>
      </c>
      <c r="D860">
        <v>4.2112068965517198</v>
      </c>
      <c r="E860">
        <v>232</v>
      </c>
      <c r="F860">
        <v>190</v>
      </c>
      <c r="G860">
        <v>17</v>
      </c>
      <c r="H860">
        <v>25</v>
      </c>
      <c r="I860">
        <v>1</v>
      </c>
    </row>
    <row r="861" spans="1:9">
      <c r="A861" t="s">
        <v>776</v>
      </c>
      <c r="B861" t="s">
        <v>911</v>
      </c>
      <c r="C861" t="s">
        <v>908</v>
      </c>
      <c r="D861">
        <v>3.8194444444444402</v>
      </c>
      <c r="E861">
        <v>72</v>
      </c>
      <c r="F861">
        <v>51</v>
      </c>
      <c r="G861">
        <v>6</v>
      </c>
      <c r="H861">
        <v>15</v>
      </c>
      <c r="I861">
        <v>1</v>
      </c>
    </row>
    <row r="862" spans="1:9">
      <c r="A862" t="s">
        <v>805</v>
      </c>
      <c r="B862" t="s">
        <v>907</v>
      </c>
      <c r="C862" t="s">
        <v>908</v>
      </c>
      <c r="D862">
        <v>4.0787401574803104</v>
      </c>
      <c r="E862">
        <v>127</v>
      </c>
      <c r="F862">
        <v>99</v>
      </c>
      <c r="G862">
        <v>8</v>
      </c>
      <c r="H862">
        <v>20</v>
      </c>
      <c r="I862">
        <v>1</v>
      </c>
    </row>
    <row r="863" spans="1:9">
      <c r="A863" t="s">
        <v>144</v>
      </c>
      <c r="B863" t="s">
        <v>1037</v>
      </c>
      <c r="C863" t="s">
        <v>959</v>
      </c>
      <c r="D863">
        <v>3.6666666666666599</v>
      </c>
      <c r="E863">
        <v>99</v>
      </c>
      <c r="F863">
        <v>64</v>
      </c>
      <c r="G863">
        <v>9</v>
      </c>
      <c r="H863">
        <v>26</v>
      </c>
      <c r="I863">
        <v>1</v>
      </c>
    </row>
    <row r="864" spans="1:9">
      <c r="A864" t="s">
        <v>812</v>
      </c>
      <c r="B864" t="s">
        <v>1125</v>
      </c>
      <c r="C864" t="s">
        <v>908</v>
      </c>
      <c r="D864">
        <v>4.2745098039215597</v>
      </c>
      <c r="E864">
        <v>102</v>
      </c>
      <c r="F864">
        <v>85</v>
      </c>
      <c r="G864">
        <v>5</v>
      </c>
      <c r="H864">
        <v>12</v>
      </c>
      <c r="I864">
        <v>1</v>
      </c>
    </row>
    <row r="865" spans="1:9">
      <c r="A865" s="2" t="s">
        <v>433</v>
      </c>
      <c r="B865" t="s">
        <v>1010</v>
      </c>
      <c r="C865" t="s">
        <v>908</v>
      </c>
      <c r="D865">
        <v>4.2188365650969502</v>
      </c>
      <c r="E865">
        <v>722</v>
      </c>
      <c r="F865">
        <v>586</v>
      </c>
      <c r="G865">
        <v>59</v>
      </c>
      <c r="H865">
        <v>77</v>
      </c>
      <c r="I865">
        <v>1</v>
      </c>
    </row>
    <row r="866" spans="1:9">
      <c r="A866" t="s">
        <v>623</v>
      </c>
      <c r="B866" t="s">
        <v>907</v>
      </c>
      <c r="C866" t="s">
        <v>908</v>
      </c>
      <c r="D866">
        <v>3.8260869565217299</v>
      </c>
      <c r="E866">
        <v>23</v>
      </c>
      <c r="F866">
        <v>17</v>
      </c>
      <c r="G866">
        <v>1</v>
      </c>
      <c r="H866">
        <v>5</v>
      </c>
      <c r="I866">
        <v>1</v>
      </c>
    </row>
    <row r="867" spans="1:9">
      <c r="A867" t="s">
        <v>27</v>
      </c>
      <c r="B867" t="s">
        <v>907</v>
      </c>
      <c r="C867" t="s">
        <v>908</v>
      </c>
      <c r="D867">
        <v>4.2857142857142803</v>
      </c>
      <c r="E867">
        <v>21</v>
      </c>
      <c r="F867">
        <v>17</v>
      </c>
      <c r="G867">
        <v>3</v>
      </c>
      <c r="H867">
        <v>1</v>
      </c>
      <c r="I867">
        <v>1</v>
      </c>
    </row>
    <row r="868" spans="1:9">
      <c r="A868" t="s">
        <v>705</v>
      </c>
      <c r="B868" t="s">
        <v>1194</v>
      </c>
      <c r="C868" t="s">
        <v>908</v>
      </c>
      <c r="D868">
        <v>3.65</v>
      </c>
      <c r="E868">
        <v>20</v>
      </c>
      <c r="F868">
        <v>13</v>
      </c>
      <c r="G868">
        <v>1</v>
      </c>
      <c r="H868">
        <v>6</v>
      </c>
      <c r="I868">
        <v>1</v>
      </c>
    </row>
    <row r="869" spans="1:9">
      <c r="A869" t="s">
        <v>681</v>
      </c>
      <c r="B869" t="s">
        <v>1195</v>
      </c>
      <c r="C869" t="s">
        <v>930</v>
      </c>
      <c r="D869">
        <v>3.9830508474576201</v>
      </c>
      <c r="E869">
        <v>59</v>
      </c>
      <c r="F869">
        <v>42</v>
      </c>
      <c r="G869">
        <v>7</v>
      </c>
      <c r="H869">
        <v>10</v>
      </c>
      <c r="I869">
        <v>1</v>
      </c>
    </row>
    <row r="870" spans="1:9">
      <c r="A870" t="s">
        <v>566</v>
      </c>
      <c r="B870" t="s">
        <v>1196</v>
      </c>
      <c r="C870" t="s">
        <v>908</v>
      </c>
      <c r="D870">
        <v>4.34020618556701</v>
      </c>
      <c r="E870">
        <v>582</v>
      </c>
      <c r="F870">
        <v>497</v>
      </c>
      <c r="G870">
        <v>24</v>
      </c>
      <c r="H870">
        <v>61</v>
      </c>
      <c r="I870">
        <v>1</v>
      </c>
    </row>
    <row r="871" spans="1:9">
      <c r="A871" t="s">
        <v>792</v>
      </c>
      <c r="B871" t="s">
        <v>907</v>
      </c>
      <c r="C871" t="s">
        <v>908</v>
      </c>
      <c r="D871">
        <v>4.4306784660766896</v>
      </c>
      <c r="E871">
        <v>339</v>
      </c>
      <c r="F871">
        <v>287</v>
      </c>
      <c r="G871">
        <v>23</v>
      </c>
      <c r="H871">
        <v>29</v>
      </c>
      <c r="I871">
        <v>1</v>
      </c>
    </row>
    <row r="872" spans="1:9">
      <c r="A872" t="s">
        <v>435</v>
      </c>
      <c r="B872" t="s">
        <v>1037</v>
      </c>
      <c r="C872" t="s">
        <v>959</v>
      </c>
      <c r="D872">
        <v>4.28125</v>
      </c>
      <c r="E872">
        <v>32</v>
      </c>
      <c r="F872">
        <v>24</v>
      </c>
      <c r="G872">
        <v>6</v>
      </c>
      <c r="H872">
        <v>2</v>
      </c>
      <c r="I872">
        <v>1</v>
      </c>
    </row>
    <row r="873" spans="1:9">
      <c r="A873" t="s">
        <v>80</v>
      </c>
      <c r="B873" t="s">
        <v>922</v>
      </c>
      <c r="C873" t="s">
        <v>920</v>
      </c>
      <c r="D873">
        <v>3.84</v>
      </c>
      <c r="E873">
        <v>25</v>
      </c>
      <c r="F873">
        <v>16</v>
      </c>
      <c r="G873">
        <v>4</v>
      </c>
      <c r="H873">
        <v>5</v>
      </c>
      <c r="I873">
        <v>1</v>
      </c>
    </row>
    <row r="874" spans="1:9">
      <c r="A874" t="s">
        <v>702</v>
      </c>
      <c r="B874" t="s">
        <v>912</v>
      </c>
      <c r="C874" t="s">
        <v>913</v>
      </c>
      <c r="D874">
        <v>4.3583333333333298</v>
      </c>
      <c r="E874">
        <v>120</v>
      </c>
      <c r="F874">
        <v>105</v>
      </c>
      <c r="G874">
        <v>2</v>
      </c>
      <c r="H874">
        <v>13</v>
      </c>
      <c r="I874">
        <v>1</v>
      </c>
    </row>
    <row r="875" spans="1:9">
      <c r="A875" t="s">
        <v>72</v>
      </c>
      <c r="B875" t="s">
        <v>938</v>
      </c>
      <c r="C875" t="s">
        <v>908</v>
      </c>
      <c r="D875">
        <v>3.8082191780821901</v>
      </c>
      <c r="E875">
        <v>73</v>
      </c>
      <c r="F875">
        <v>51</v>
      </c>
      <c r="G875">
        <v>9</v>
      </c>
      <c r="H875">
        <v>13</v>
      </c>
      <c r="I875">
        <v>1</v>
      </c>
    </row>
    <row r="876" spans="1:9">
      <c r="A876" t="s">
        <v>413</v>
      </c>
      <c r="B876" t="s">
        <v>941</v>
      </c>
      <c r="C876" t="s">
        <v>908</v>
      </c>
      <c r="D876">
        <v>3.2592592592592502</v>
      </c>
      <c r="E876">
        <v>27</v>
      </c>
      <c r="F876">
        <v>13</v>
      </c>
      <c r="G876">
        <v>5</v>
      </c>
      <c r="H876">
        <v>9</v>
      </c>
      <c r="I876">
        <v>1</v>
      </c>
    </row>
    <row r="877" spans="1:9">
      <c r="A877" t="s">
        <v>343</v>
      </c>
      <c r="B877" t="s">
        <v>907</v>
      </c>
      <c r="C877" t="s">
        <v>908</v>
      </c>
      <c r="D877">
        <v>4.3552631578947301</v>
      </c>
      <c r="E877">
        <v>76</v>
      </c>
      <c r="F877">
        <v>63</v>
      </c>
      <c r="G877">
        <v>2</v>
      </c>
      <c r="H877">
        <v>11</v>
      </c>
      <c r="I877">
        <v>1</v>
      </c>
    </row>
    <row r="878" spans="1:9">
      <c r="A878" t="s">
        <v>248</v>
      </c>
      <c r="B878" t="s">
        <v>907</v>
      </c>
      <c r="C878" t="s">
        <v>908</v>
      </c>
      <c r="D878">
        <v>4.1290322580645098</v>
      </c>
      <c r="E878">
        <v>62</v>
      </c>
      <c r="F878">
        <v>50</v>
      </c>
      <c r="G878">
        <v>3</v>
      </c>
      <c r="H878">
        <v>9</v>
      </c>
      <c r="I878">
        <v>1</v>
      </c>
    </row>
    <row r="879" spans="1:9">
      <c r="A879" t="s">
        <v>618</v>
      </c>
      <c r="B879" t="s">
        <v>919</v>
      </c>
      <c r="C879" t="s">
        <v>920</v>
      </c>
      <c r="D879">
        <v>4.4857142857142804</v>
      </c>
      <c r="E879">
        <v>35</v>
      </c>
      <c r="F879">
        <v>31</v>
      </c>
      <c r="G879">
        <v>1</v>
      </c>
      <c r="H879">
        <v>3</v>
      </c>
      <c r="I879">
        <v>1</v>
      </c>
    </row>
    <row r="880" spans="1:9">
      <c r="A880" t="s">
        <v>262</v>
      </c>
      <c r="B880" t="s">
        <v>914</v>
      </c>
      <c r="C880" t="s">
        <v>908</v>
      </c>
      <c r="D880">
        <v>4.3841059602649004</v>
      </c>
      <c r="E880">
        <v>302</v>
      </c>
      <c r="F880">
        <v>259</v>
      </c>
      <c r="G880">
        <v>14</v>
      </c>
      <c r="H880">
        <v>29</v>
      </c>
      <c r="I880">
        <v>1</v>
      </c>
    </row>
    <row r="881" spans="1:9">
      <c r="A881" t="s">
        <v>220</v>
      </c>
      <c r="B881" t="s">
        <v>1062</v>
      </c>
      <c r="C881" t="s">
        <v>908</v>
      </c>
      <c r="D881">
        <v>4.2635658914728598</v>
      </c>
      <c r="E881">
        <v>129</v>
      </c>
      <c r="F881">
        <v>107</v>
      </c>
      <c r="G881">
        <v>5</v>
      </c>
      <c r="H881">
        <v>17</v>
      </c>
      <c r="I881">
        <v>1</v>
      </c>
    </row>
    <row r="882" spans="1:9">
      <c r="A882" t="s">
        <v>147</v>
      </c>
      <c r="B882" t="s">
        <v>916</v>
      </c>
      <c r="C882" t="s">
        <v>908</v>
      </c>
      <c r="D882">
        <v>4.2842105263157801</v>
      </c>
      <c r="E882">
        <v>95</v>
      </c>
      <c r="F882">
        <v>80</v>
      </c>
      <c r="G882">
        <v>6</v>
      </c>
      <c r="H882">
        <v>9</v>
      </c>
      <c r="I882">
        <v>1</v>
      </c>
    </row>
    <row r="883" spans="1:9">
      <c r="A883" t="s">
        <v>505</v>
      </c>
      <c r="B883" t="s">
        <v>1019</v>
      </c>
      <c r="C883" t="s">
        <v>908</v>
      </c>
      <c r="D883">
        <v>4.0612244897959098</v>
      </c>
      <c r="E883">
        <v>49</v>
      </c>
      <c r="F883">
        <v>37</v>
      </c>
      <c r="G883">
        <v>4</v>
      </c>
      <c r="H883">
        <v>8</v>
      </c>
      <c r="I883">
        <v>1</v>
      </c>
    </row>
    <row r="884" spans="1:9">
      <c r="A884" t="s">
        <v>164</v>
      </c>
      <c r="B884" t="s">
        <v>907</v>
      </c>
      <c r="C884" t="s">
        <v>908</v>
      </c>
      <c r="D884">
        <v>3.65</v>
      </c>
      <c r="E884">
        <v>20</v>
      </c>
      <c r="F884">
        <v>13</v>
      </c>
      <c r="G884">
        <v>1</v>
      </c>
      <c r="H884">
        <v>6</v>
      </c>
      <c r="I884">
        <v>1</v>
      </c>
    </row>
    <row r="885" spans="1:9">
      <c r="A885" t="s">
        <v>744</v>
      </c>
      <c r="B885" t="s">
        <v>938</v>
      </c>
      <c r="C885" t="s">
        <v>908</v>
      </c>
      <c r="D885">
        <v>4.3</v>
      </c>
      <c r="E885">
        <v>30</v>
      </c>
      <c r="F885">
        <v>23</v>
      </c>
      <c r="G885">
        <v>5</v>
      </c>
      <c r="H885">
        <v>2</v>
      </c>
      <c r="I885">
        <v>1</v>
      </c>
    </row>
    <row r="886" spans="1:9">
      <c r="A886" t="s">
        <v>716</v>
      </c>
      <c r="B886" t="s">
        <v>919</v>
      </c>
      <c r="C886" t="s">
        <v>920</v>
      </c>
      <c r="D886">
        <v>4.25</v>
      </c>
      <c r="E886">
        <v>20</v>
      </c>
      <c r="F886">
        <v>16</v>
      </c>
      <c r="G886">
        <v>1</v>
      </c>
      <c r="H886">
        <v>3</v>
      </c>
      <c r="I886">
        <v>1</v>
      </c>
    </row>
    <row r="887" spans="1:9">
      <c r="A887" s="2" t="s">
        <v>415</v>
      </c>
      <c r="B887" t="s">
        <v>1103</v>
      </c>
      <c r="C887" t="s">
        <v>908</v>
      </c>
      <c r="D887">
        <v>3.86666666666666</v>
      </c>
      <c r="E887">
        <v>60</v>
      </c>
      <c r="F887">
        <v>43</v>
      </c>
      <c r="G887">
        <v>4</v>
      </c>
      <c r="H887">
        <v>13</v>
      </c>
      <c r="I887">
        <v>1</v>
      </c>
    </row>
    <row r="888" spans="1:9">
      <c r="A888" t="s">
        <v>289</v>
      </c>
      <c r="B888" t="s">
        <v>914</v>
      </c>
      <c r="C888" t="s">
        <v>908</v>
      </c>
      <c r="D888">
        <v>2.1</v>
      </c>
      <c r="E888">
        <v>20</v>
      </c>
      <c r="F888">
        <v>4</v>
      </c>
      <c r="G888">
        <v>3</v>
      </c>
      <c r="H888">
        <v>13</v>
      </c>
      <c r="I888">
        <v>1</v>
      </c>
    </row>
  </sheetData>
  <autoFilter ref="A1:Q888" xr:uid="{83E62C4D-9708-4051-8F50-AF91AE55E96C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AE6D-54CE-4CAA-BF6C-C926DC3ACC0C}">
  <dimension ref="A3:D12"/>
  <sheetViews>
    <sheetView workbookViewId="0">
      <selection activeCell="C22" sqref="C22"/>
    </sheetView>
  </sheetViews>
  <sheetFormatPr defaultRowHeight="14.4"/>
  <cols>
    <col min="1" max="1" width="12.4414062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>
      <c r="A3" s="4" t="s">
        <v>946</v>
      </c>
      <c r="B3" s="4" t="s">
        <v>945</v>
      </c>
    </row>
    <row r="4" spans="1:4">
      <c r="A4" s="4" t="s">
        <v>943</v>
      </c>
      <c r="B4" t="s">
        <v>909</v>
      </c>
      <c r="C4" t="s">
        <v>915</v>
      </c>
      <c r="D4" t="s">
        <v>944</v>
      </c>
    </row>
    <row r="5" spans="1:4">
      <c r="A5" s="5" t="s">
        <v>913</v>
      </c>
      <c r="B5">
        <v>7</v>
      </c>
      <c r="D5">
        <v>7</v>
      </c>
    </row>
    <row r="6" spans="1:4">
      <c r="A6" s="5" t="s">
        <v>935</v>
      </c>
      <c r="C6">
        <v>1</v>
      </c>
      <c r="D6">
        <v>1</v>
      </c>
    </row>
    <row r="7" spans="1:4">
      <c r="A7" s="5" t="s">
        <v>920</v>
      </c>
      <c r="B7">
        <v>2</v>
      </c>
      <c r="C7">
        <v>1</v>
      </c>
      <c r="D7">
        <v>3</v>
      </c>
    </row>
    <row r="8" spans="1:4">
      <c r="A8" s="5" t="s">
        <v>918</v>
      </c>
      <c r="C8">
        <v>1</v>
      </c>
      <c r="D8">
        <v>1</v>
      </c>
    </row>
    <row r="9" spans="1:4">
      <c r="A9" s="5" t="s">
        <v>925</v>
      </c>
      <c r="B9">
        <v>2</v>
      </c>
      <c r="D9">
        <v>2</v>
      </c>
    </row>
    <row r="10" spans="1:4">
      <c r="A10" s="5" t="s">
        <v>930</v>
      </c>
      <c r="B10">
        <v>1</v>
      </c>
      <c r="D10">
        <v>1</v>
      </c>
    </row>
    <row r="11" spans="1:4">
      <c r="A11" s="5" t="s">
        <v>908</v>
      </c>
      <c r="B11">
        <v>23</v>
      </c>
      <c r="C11">
        <v>2</v>
      </c>
      <c r="D11">
        <v>25</v>
      </c>
    </row>
    <row r="12" spans="1:4">
      <c r="A12" s="5" t="s">
        <v>944</v>
      </c>
      <c r="B12">
        <v>35</v>
      </c>
      <c r="C12">
        <v>5</v>
      </c>
      <c r="D12">
        <v>40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Insights log</vt:lpstr>
      <vt:lpstr>Brazil context</vt:lpstr>
      <vt:lpstr>Brazil Fed units</vt:lpstr>
      <vt:lpstr>Brazil Data</vt:lpstr>
      <vt:lpstr>Missingness over time</vt:lpstr>
      <vt:lpstr>Category dominance by state</vt:lpstr>
      <vt:lpstr>Orders over time</vt:lpstr>
      <vt:lpstr>Category sale vs revenue</vt:lpstr>
      <vt:lpstr>State dependance</vt:lpstr>
      <vt:lpstr>product categories</vt:lpstr>
      <vt:lpstr>Table names</vt:lpstr>
      <vt:lpstr>Sellers pivot</vt:lpstr>
      <vt:lpstr>Total reviews</vt:lpstr>
      <vt:lpstr>reviews by sellers state</vt:lpstr>
      <vt:lpstr>sellers reviews</vt:lpstr>
      <vt:lpstr>exceptional sellers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Walker</dc:creator>
  <cp:lastModifiedBy>Samuel Walker</cp:lastModifiedBy>
  <dcterms:created xsi:type="dcterms:W3CDTF">2026-03-27T22:37:39Z</dcterms:created>
  <dcterms:modified xsi:type="dcterms:W3CDTF">2026-04-17T07:51:11Z</dcterms:modified>
</cp:coreProperties>
</file>